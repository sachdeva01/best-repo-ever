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 &amp; Summary" sheetId="1" state="visible" r:id="rId3"/>
    <sheet name="Year-by-Year" sheetId="2" state="visible" r:id="rId4"/>
    <sheet name="Accumulation Phase" sheetId="3" state="visible" r:id="rId5"/>
    <sheet name="Portfolio Strate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<sst xmlns="http://schemas.openxmlformats.org/spreadsheetml/2006/main" count="135" uniqueCount="127">
  <si>
    <t xml:space="preserve">RETIREMENT PLAN — SCENARIO 5: DELAYED RETIREMENT + GROWTH REINVEST (4% GROWTH)</t>
  </si>
  <si>
    <t xml:space="preserve">Retire at 57 | Cap Income at $300K | Reinvest ALL Surplus in Growth | Your SS Only at 67</t>
  </si>
  <si>
    <t xml:space="preserve">PERSONAL DETAILS</t>
  </si>
  <si>
    <t xml:space="preserve">Current Age</t>
  </si>
  <si>
    <t xml:space="preserve">Retirement Age</t>
  </si>
  <si>
    <t xml:space="preserve">Plan End Age</t>
  </si>
  <si>
    <t xml:space="preserve">Years Until Retirement</t>
  </si>
  <si>
    <t xml:space="preserve">Years in Retirement</t>
  </si>
  <si>
    <t xml:space="preserve">SS Start Age (You Only)</t>
  </si>
  <si>
    <t xml:space="preserve">SS Benefit (Annual, today $)</t>
  </si>
  <si>
    <t xml:space="preserve">Medicare Eligibility Age</t>
  </si>
  <si>
    <t xml:space="preserve">ACCUMULATION PHASE (Ages 51-57)</t>
  </si>
  <si>
    <t xml:space="preserve">EXPENSE ASSUMPTIONS</t>
  </si>
  <si>
    <t xml:space="preserve">Current Savings</t>
  </si>
  <si>
    <t xml:space="preserve">Total Annual Expenses (Today $, incl. mortgage &amp; medical)</t>
  </si>
  <si>
    <t xml:space="preserve">Annual Savings While Working</t>
  </si>
  <si>
    <t xml:space="preserve">Monthly Mortgage Payment</t>
  </si>
  <si>
    <t xml:space="preserve">Pre-Retirement Growth Rate (Growth Portfolio)</t>
  </si>
  <si>
    <t xml:space="preserve">Annual Mortgage Cost</t>
  </si>
  <si>
    <t xml:space="preserve">Portfolio at Retirement (Age 57)</t>
  </si>
  <si>
    <t xml:space="preserve">Mortgage Remaining Years from Now</t>
  </si>
  <si>
    <t xml:space="preserve">Pre-Medicare Annual Medical (Out of Pocket)</t>
  </si>
  <si>
    <t xml:space="preserve">DISTRIBUTION PHASE (Ages 57-90)</t>
  </si>
  <si>
    <t xml:space="preserve">Post-Medicare Annual Medical (Est.)</t>
  </si>
  <si>
    <t xml:space="preserve">Post-Retirement Total Return</t>
  </si>
  <si>
    <t xml:space="preserve">Income Portion (Yield on Income Sleeve)</t>
  </si>
  <si>
    <t xml:space="preserve">INCOME-CAPPING STRATEGY</t>
  </si>
  <si>
    <t xml:space="preserve">Growth Sleeve Return</t>
  </si>
  <si>
    <t xml:space="preserve">1. Portfolio split: Income Sleeve + Growth Sleeve</t>
  </si>
  <si>
    <t xml:space="preserve">Effective Tax Rate on Income</t>
  </si>
  <si>
    <t xml:space="preserve">2. Income Sleeve sized to generate ~$300K/yr at 4% yield</t>
  </si>
  <si>
    <t xml:space="preserve">Inflation Rate (Annual)</t>
  </si>
  <si>
    <t xml:space="preserve">3. ALL surplus above expenses reinvested into Growth Sleeve</t>
  </si>
  <si>
    <t xml:space="preserve">Target Annual Income (Today $)</t>
  </si>
  <si>
    <t xml:space="preserve">4. Growth Sleeve compounds at 8% (equities, no withdrawals)</t>
  </si>
  <si>
    <t xml:space="preserve">Target Nest Egg at Age 90 (Real $, Today)</t>
  </si>
  <si>
    <t xml:space="preserve">5. As expenses inflate, rebalance from Growth → Income</t>
  </si>
  <si>
    <t xml:space="preserve">Target Nest Egg at Age 90 (Nominal $)</t>
  </si>
  <si>
    <t xml:space="preserve">6. Result: maximum long-term wealth accumulation</t>
  </si>
  <si>
    <t xml:space="preserve">KEY METRICS SUMMARY</t>
  </si>
  <si>
    <t xml:space="preserve">Initial Income Sleeve (generates ~$300K)</t>
  </si>
  <si>
    <t xml:space="preserve">Initial Growth Sleeve (remainder)</t>
  </si>
  <si>
    <t xml:space="preserve">Ending Total Portfolio at Age 90</t>
  </si>
  <si>
    <t xml:space="preserve">  — Income Sleeve at 90</t>
  </si>
  <si>
    <t xml:space="preserve">  — Growth Sleeve at 90</t>
  </si>
  <si>
    <t xml:space="preserve">Preservation Target ($4.25M Real, Nominal)</t>
  </si>
  <si>
    <t xml:space="preserve">Surplus / (Shortfall) at 90</t>
  </si>
  <si>
    <t xml:space="preserve">Ending Portfolio in Real Dollars</t>
  </si>
  <si>
    <t xml:space="preserve">CURRENT ACCOUNTS</t>
  </si>
  <si>
    <t xml:space="preserve">Account</t>
  </si>
  <si>
    <t xml:space="preserve">Balance ($)</t>
  </si>
  <si>
    <t xml:space="preserve">Fidelity – Saurabh</t>
  </si>
  <si>
    <t xml:space="preserve">Fidelity – Kangan</t>
  </si>
  <si>
    <t xml:space="preserve">Schwab</t>
  </si>
  <si>
    <t xml:space="preserve">Vanguard</t>
  </si>
  <si>
    <t xml:space="preserve">Goldman Sachs</t>
  </si>
  <si>
    <t xml:space="preserve">E*Trade 1</t>
  </si>
  <si>
    <t xml:space="preserve">E*Trade 2</t>
  </si>
  <si>
    <t xml:space="preserve">Bank of America</t>
  </si>
  <si>
    <t xml:space="preserve">Wealthfront</t>
  </si>
  <si>
    <t xml:space="preserve">HSA</t>
  </si>
  <si>
    <t xml:space="preserve">Gov</t>
  </si>
  <si>
    <t xml:space="preserve">T. Rowe Price – Kangan</t>
  </si>
  <si>
    <t xml:space="preserve">T. Rowe Price – Saurabh</t>
  </si>
  <si>
    <t xml:space="preserve">Capital One</t>
  </si>
  <si>
    <t xml:space="preserve">Total</t>
  </si>
  <si>
    <t xml:space="preserve">YEAR-BY-YEAR — SCENARIO 5: DELAYED RETIREMENT + GROWTH REINVEST (4% GROWTH)</t>
  </si>
  <si>
    <t xml:space="preserve">Income capped at ~$300K (inflating) | Surplus reinvested in Growth Sleeve at 4% | Income Sleeve yields 4%</t>
  </si>
  <si>
    <t xml:space="preserve">Age</t>
  </si>
  <si>
    <t xml:space="preserve">Year</t>
  </si>
  <si>
    <t xml:space="preserve">Income from
Income Sleeve</t>
  </si>
  <si>
    <t xml:space="preserve">Social Security</t>
  </si>
  <si>
    <t xml:space="preserve">Income Sleeve
Balance (BOY)</t>
  </si>
  <si>
    <t xml:space="preserve">Total
Expenses</t>
  </si>
  <si>
    <t xml:space="preserve">Net Cash Flow
(After Tax)</t>
  </si>
  <si>
    <t xml:space="preserve">Total Portfolio
(BOY)</t>
  </si>
  <si>
    <t xml:space="preserve">Growth Sleeve
Balance (BOY)</t>
  </si>
  <si>
    <t xml:space="preserve">Surplus
Reinvested</t>
  </si>
  <si>
    <t xml:space="preserve">Notes</t>
  </si>
  <si>
    <t xml:space="preserve">Retirement begins</t>
  </si>
  <si>
    <t xml:space="preserve">Medicare starts</t>
  </si>
  <si>
    <t xml:space="preserve">Mortgage paid off</t>
  </si>
  <si>
    <t xml:space="preserve">SS begins (you only)</t>
  </si>
  <si>
    <t xml:space="preserve">Plan end</t>
  </si>
  <si>
    <t xml:space="preserve">ACCUMULATION PHASE — AGES 51 TO 57 (WORKING YEARS)</t>
  </si>
  <si>
    <t xml:space="preserve">4% growth portfolio + $150K annual savings</t>
  </si>
  <si>
    <t xml:space="preserve">BOY Balance</t>
  </si>
  <si>
    <t xml:space="preserve">Savings Added</t>
  </si>
  <si>
    <t xml:space="preserve">EOY Balance</t>
  </si>
  <si>
    <t xml:space="preserve">Age 57</t>
  </si>
  <si>
    <t xml:space="preserve">Portfolio at retirement</t>
  </si>
  <si>
    <t xml:space="preserve">Total Savings Added:</t>
  </si>
  <si>
    <t xml:space="preserve">Total Investment Growth:</t>
  </si>
  <si>
    <t xml:space="preserve">TWO-SLEEVE PORTFOLIO STRATEGY</t>
  </si>
  <si>
    <t xml:space="preserve">Income Sleeve: generates $300K/yr at 4% yield | Growth Sleeve: compounding at 4%</t>
  </si>
  <si>
    <t xml:space="preserve">INCOME SLEEVE — $7.5M (51% of portfolio)</t>
  </si>
  <si>
    <t xml:space="preserve">Sized at $300K / 4% yield = $7.5M. Generates your living income.</t>
  </si>
  <si>
    <t xml:space="preserve">Fund / Ticker</t>
  </si>
  <si>
    <t xml:space="preserve">Allocation</t>
  </si>
  <si>
    <t xml:space="preserve">Dollar Amt</t>
  </si>
  <si>
    <t xml:space="preserve">VTEB - Vanguard Tax-Exempt Bond</t>
  </si>
  <si>
    <t xml:space="preserve">Broad national muni; tax-free; 0.03% ER</t>
  </si>
  <si>
    <t xml:space="preserve">MUB - iShares National Muni Bond</t>
  </si>
  <si>
    <t xml:space="preserve">Investment-grade munis; 6K+ bonds</t>
  </si>
  <si>
    <t xml:space="preserve">HYD - VanEck High Yield Muni</t>
  </si>
  <si>
    <t xml:space="preserve">Higher yield munis; ~4.3% yield</t>
  </si>
  <si>
    <t xml:space="preserve">VTES - Vanguard Short-Term Tax-Exempt</t>
  </si>
  <si>
    <t xml:space="preserve">Short muni; liquidity buffer</t>
  </si>
  <si>
    <t xml:space="preserve">SCHD - Schwab US Dividend Equity</t>
  </si>
  <si>
    <t xml:space="preserve">Quality dividends; ~3.9% yield</t>
  </si>
  <si>
    <t xml:space="preserve">JEPI - JPMorgan Equity Premium</t>
  </si>
  <si>
    <t xml:space="preserve">Covered calls; ~7.2% yield; monthly</t>
  </si>
  <si>
    <t xml:space="preserve">Income Sleeve Total</t>
  </si>
  <si>
    <t xml:space="preserve">GROWTH SLEEVE — $7.25M (49% of portfolio)</t>
  </si>
  <si>
    <t xml:space="preserve">Pure growth at 4%. No withdrawals. Surplus reinvested here.</t>
  </si>
  <si>
    <t xml:space="preserve">VOO - Vanguard S&amp;P 500</t>
  </si>
  <si>
    <t xml:space="preserve">Core US large cap; 0.03% ER</t>
  </si>
  <si>
    <t xml:space="preserve">VGT - Vanguard Info Tech</t>
  </si>
  <si>
    <t xml:space="preserve">Tech sector growth; 0.10% ER</t>
  </si>
  <si>
    <t xml:space="preserve">VXF - Vanguard Extended Market</t>
  </si>
  <si>
    <t xml:space="preserve">Mid/small cap; 0.06% ER</t>
  </si>
  <si>
    <t xml:space="preserve">VXUS - Vanguard Total Intl Stock</t>
  </si>
  <si>
    <t xml:space="preserve">International diversification; 0.07% ER</t>
  </si>
  <si>
    <t xml:space="preserve">VIG - Vanguard Dividend Appreciation</t>
  </si>
  <si>
    <t xml:space="preserve">Dividend growers; future income bridge</t>
  </si>
  <si>
    <t xml:space="preserve">Growth Sleeve Total</t>
  </si>
  <si>
    <t xml:space="preserve">TOTAL PORTFOLIO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</si>
</sst>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0"/>
    <numFmt numFmtId="168" formatCode="\$#,##0;&quot;($&quot;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6E4F0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5E8D4"/>
      </patternFill>
    </fill>
    <fill>
      <patternFill patternType="solid">
        <fgColor rgb="FF4472C4"/>
        <bgColor rgb="FF2F5496"/>
      </patternFill>
    </fill>
    <fill>
      <patternFill patternType="solid">
        <fgColor rgb="FFDAE3F3"/>
        <bgColor rgb="FFD6E4F0"/>
      </patternFill>
    </fill>
    <fill>
      <patternFill patternType="solid">
        <fgColor rgb="FF2F5496"/>
        <bgColor rgb="FF4472C4"/>
      </patternFill>
    </fill>
    <fill>
      <patternFill patternType="solid">
        <fgColor rgb="FFF2F2F2"/>
        <bgColor rgb="FFE2EFDA"/>
      </patternFill>
    </fill>
    <fill>
      <patternFill patternType="solid">
        <fgColor rgb="FFD5E8D4"/>
        <bgColor rgb="FFE2EFDA"/>
      </patternFill>
    </fill>
    <fill>
      <patternFill patternType="solid">
        <fgColor rgb="FFDAE8FC"/>
        <bgColor rgb="FFDAE3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E8D4"/>
      <rgbColor rgb="FF808080"/>
      <rgbColor rgb="FF9999FF"/>
      <rgbColor rgb="FF993366"/>
      <rgbColor rgb="FFF2F2F2"/>
      <rgbColor rgb="FFDAE8FC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DAE3F3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44"/>
    <col collapsed="false" customWidth="true" hidden="false" outlineLevel="0" max="6" min="6" style="1" width="18"/>
  </cols>
  <sheetData>
    <row r="2" customFormat="false" ht="17.25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  <c r="C5" s="5"/>
    </row>
    <row r="6" customFormat="false" ht="15" hidden="false" customHeight="true" outlineLevel="0" collapsed="false">
      <c r="B6" s="6" t="s">
        <v>3</v>
      </c>
      <c r="C6" s="7" t="n">
        <v>51</v>
      </c>
    </row>
    <row r="7" customFormat="false" ht="15" hidden="false" customHeight="true" outlineLevel="0" collapsed="false">
      <c r="B7" s="6" t="s">
        <v>4</v>
      </c>
      <c r="C7" s="7" t="n">
        <v>57</v>
      </c>
    </row>
    <row r="8" customFormat="false" ht="15" hidden="false" customHeight="true" outlineLevel="0" collapsed="false">
      <c r="B8" s="6" t="s">
        <v>5</v>
      </c>
      <c r="C8" s="7" t="n">
        <v>90</v>
      </c>
    </row>
    <row r="9" customFormat="false" ht="15" hidden="false" customHeight="true" outlineLevel="0" collapsed="false">
      <c r="B9" s="6" t="s">
        <v>6</v>
      </c>
      <c r="C9" s="6" t="n">
        <f aca="false">C7-C6</f>
        <v>6</v>
      </c>
    </row>
    <row r="10" customFormat="false" ht="15" hidden="false" customHeight="true" outlineLevel="0" collapsed="false">
      <c r="B10" s="6" t="s">
        <v>7</v>
      </c>
      <c r="C10" s="6" t="n">
        <f aca="false">C8-C7</f>
        <v>33</v>
      </c>
    </row>
    <row r="11" customFormat="false" ht="15" hidden="false" customHeight="true" outlineLevel="0" collapsed="false">
      <c r="B11" s="6" t="s">
        <v>8</v>
      </c>
      <c r="C11" s="7" t="n">
        <v>67</v>
      </c>
    </row>
    <row r="12" customFormat="false" ht="15" hidden="false" customHeight="true" outlineLevel="0" collapsed="false">
      <c r="B12" s="6" t="s">
        <v>9</v>
      </c>
      <c r="C12" s="7" t="n">
        <v>36000</v>
      </c>
    </row>
    <row r="13" customFormat="false" ht="15" hidden="false" customHeight="true" outlineLevel="0" collapsed="false">
      <c r="B13" s="6" t="s">
        <v>10</v>
      </c>
      <c r="C13" s="7" t="n">
        <v>65</v>
      </c>
    </row>
    <row r="15" customFormat="false" ht="15" hidden="false" customHeight="true" outlineLevel="0" collapsed="false">
      <c r="B15" s="8" t="s">
        <v>11</v>
      </c>
      <c r="C15" s="9"/>
      <c r="E15" s="4" t="s">
        <v>12</v>
      </c>
      <c r="F15" s="5"/>
    </row>
    <row r="16" customFormat="false" ht="15" hidden="false" customHeight="true" outlineLevel="0" collapsed="false">
      <c r="B16" s="6" t="s">
        <v>13</v>
      </c>
      <c r="C16" s="10" t="n">
        <v>8600000</v>
      </c>
      <c r="E16" s="6" t="s">
        <v>14</v>
      </c>
      <c r="F16" s="10" t="n">
        <v>225000</v>
      </c>
    </row>
    <row r="17" customFormat="false" ht="15" hidden="false" customHeight="true" outlineLevel="0" collapsed="false">
      <c r="B17" s="6" t="s">
        <v>15</v>
      </c>
      <c r="C17" s="10" t="n">
        <v>150000</v>
      </c>
      <c r="E17" s="6" t="s">
        <v>16</v>
      </c>
      <c r="F17" s="10" t="n">
        <v>2500</v>
      </c>
    </row>
    <row r="18" customFormat="false" ht="15" hidden="false" customHeight="true" outlineLevel="0" collapsed="false">
      <c r="B18" s="6" t="s">
        <v>17</v>
      </c>
      <c r="C18" s="11" t="n">
        <v>0.04</v>
      </c>
      <c r="E18" s="6" t="s">
        <v>18</v>
      </c>
      <c r="F18" s="12" t="n">
        <f aca="false">F17*12</f>
        <v>30000</v>
      </c>
    </row>
    <row r="19" customFormat="false" ht="15" hidden="false" customHeight="true" outlineLevel="0" collapsed="false">
      <c r="B19" s="6" t="s">
        <v>19</v>
      </c>
      <c r="C19" s="12" t="n">
        <f aca="false">C16*(1+C18)^C9 + C17*((1+C18)^C9-1)/C18</f>
        <v>11876689.8784256</v>
      </c>
      <c r="E19" s="6" t="s">
        <v>20</v>
      </c>
      <c r="F19" s="13" t="n">
        <v>15</v>
      </c>
    </row>
    <row r="20" customFormat="false" ht="15" hidden="false" customHeight="true" outlineLevel="0" collapsed="false">
      <c r="E20" s="6" t="s">
        <v>21</v>
      </c>
      <c r="F20" s="10" t="n">
        <v>25000</v>
      </c>
    </row>
    <row r="21" customFormat="false" ht="15" hidden="false" customHeight="true" outlineLevel="0" collapsed="false">
      <c r="B21" s="4" t="s">
        <v>22</v>
      </c>
      <c r="C21" s="5"/>
      <c r="E21" s="6" t="s">
        <v>23</v>
      </c>
      <c r="F21" s="10" t="n">
        <v>8000</v>
      </c>
    </row>
    <row r="22" customFormat="false" ht="15" hidden="false" customHeight="true" outlineLevel="0" collapsed="false">
      <c r="B22" s="6" t="s">
        <v>24</v>
      </c>
      <c r="C22" s="11" t="n">
        <v>0.04</v>
      </c>
    </row>
    <row r="23" customFormat="false" ht="15" hidden="false" customHeight="true" outlineLevel="0" collapsed="false">
      <c r="B23" s="6" t="s">
        <v>25</v>
      </c>
      <c r="C23" s="11" t="n">
        <v>0.04</v>
      </c>
      <c r="E23" s="8" t="s">
        <v>26</v>
      </c>
      <c r="F23" s="9"/>
    </row>
    <row r="24" customFormat="false" ht="15" hidden="false" customHeight="true" outlineLevel="0" collapsed="false">
      <c r="B24" s="6" t="s">
        <v>27</v>
      </c>
      <c r="C24" s="11" t="n">
        <v>0.04</v>
      </c>
      <c r="E24" s="14" t="s">
        <v>28</v>
      </c>
    </row>
    <row r="25" customFormat="false" ht="15" hidden="false" customHeight="true" outlineLevel="0" collapsed="false">
      <c r="B25" s="6" t="s">
        <v>29</v>
      </c>
      <c r="C25" s="11" t="n">
        <v>0.2</v>
      </c>
      <c r="E25" s="14" t="s">
        <v>30</v>
      </c>
    </row>
    <row r="26" customFormat="false" ht="15" hidden="false" customHeight="true" outlineLevel="0" collapsed="false">
      <c r="B26" s="6" t="s">
        <v>31</v>
      </c>
      <c r="C26" s="11" t="n">
        <v>0.03</v>
      </c>
      <c r="E26" s="14" t="s">
        <v>32</v>
      </c>
    </row>
    <row r="27" customFormat="false" ht="15" hidden="false" customHeight="true" outlineLevel="0" collapsed="false">
      <c r="B27" s="6" t="s">
        <v>33</v>
      </c>
      <c r="C27" s="10" t="n">
        <v>300000</v>
      </c>
      <c r="E27" s="14" t="s">
        <v>34</v>
      </c>
    </row>
    <row r="28" customFormat="false" ht="15" hidden="false" customHeight="true" outlineLevel="0" collapsed="false">
      <c r="B28" s="6" t="s">
        <v>35</v>
      </c>
      <c r="C28" s="10" t="n">
        <v>4250000</v>
      </c>
      <c r="E28" s="14" t="s">
        <v>36</v>
      </c>
    </row>
    <row r="29" customFormat="false" ht="15" hidden="false" customHeight="true" outlineLevel="0" collapsed="false">
      <c r="B29" s="6" t="s">
        <v>37</v>
      </c>
      <c r="C29" s="12" t="n">
        <f aca="false">C28*(1+C26)^(C8-C6)</f>
        <v>13459864.6757244</v>
      </c>
      <c r="E29" s="14" t="s">
        <v>38</v>
      </c>
    </row>
    <row r="32" customFormat="false" ht="15" hidden="false" customHeight="true" outlineLevel="0" collapsed="false">
      <c r="B32" s="8" t="s">
        <v>39</v>
      </c>
      <c r="C32" s="9"/>
    </row>
    <row r="33" customFormat="false" ht="15" hidden="false" customHeight="true" outlineLevel="0" collapsed="false">
      <c r="B33" s="6" t="s">
        <v>19</v>
      </c>
      <c r="C33" s="12" t="n">
        <f aca="false">C19</f>
        <v>11876689.8784256</v>
      </c>
    </row>
    <row r="34" customFormat="false" ht="15" hidden="false" customHeight="true" outlineLevel="0" collapsed="false">
      <c r="B34" s="6" t="s">
        <v>40</v>
      </c>
      <c r="C34" s="12" t="n">
        <f aca="false">C27/C23</f>
        <v>7500000</v>
      </c>
    </row>
    <row r="35" customFormat="false" ht="15" hidden="false" customHeight="true" outlineLevel="0" collapsed="false">
      <c r="B35" s="6" t="s">
        <v>41</v>
      </c>
      <c r="C35" s="12" t="n">
        <f aca="false">C19-C34</f>
        <v>4376689.8784256</v>
      </c>
    </row>
    <row r="36" customFormat="false" ht="15" hidden="false" customHeight="true" outlineLevel="0" collapsed="false">
      <c r="B36" s="6" t="s">
        <v>42</v>
      </c>
      <c r="C36" s="12" t="n">
        <f aca="false">'Year-by-Year'!H37</f>
        <v>39602033.0089935</v>
      </c>
    </row>
    <row r="37" customFormat="false" ht="15" hidden="false" customHeight="true" outlineLevel="0" collapsed="false">
      <c r="B37" s="6" t="s">
        <v>43</v>
      </c>
      <c r="C37" s="12" t="n">
        <f aca="false">'Year-by-Year'!E37</f>
        <v>19892514.2876675</v>
      </c>
    </row>
    <row r="38" customFormat="false" ht="15" hidden="false" customHeight="true" outlineLevel="0" collapsed="false">
      <c r="B38" s="6" t="s">
        <v>44</v>
      </c>
      <c r="C38" s="12" t="n">
        <f aca="false">'Year-by-Year'!I37</f>
        <v>19709518.721326</v>
      </c>
    </row>
    <row r="39" customFormat="false" ht="15" hidden="false" customHeight="true" outlineLevel="0" collapsed="false">
      <c r="B39" s="6" t="s">
        <v>45</v>
      </c>
      <c r="C39" s="12" t="n">
        <f aca="false">C29</f>
        <v>13459864.6757244</v>
      </c>
    </row>
    <row r="40" customFormat="false" ht="15" hidden="false" customHeight="true" outlineLevel="0" collapsed="false">
      <c r="B40" s="6" t="s">
        <v>46</v>
      </c>
      <c r="C40" s="12" t="n">
        <f aca="false">C36-C39</f>
        <v>26142168.3332692</v>
      </c>
    </row>
    <row r="41" customFormat="false" ht="15" hidden="false" customHeight="true" outlineLevel="0" collapsed="false">
      <c r="B41" s="6" t="s">
        <v>47</v>
      </c>
      <c r="C41" s="12" t="n">
        <f aca="false">C36/(1+C26)^(C8-C6)</f>
        <v>12504482.3512808</v>
      </c>
    </row>
    <row r="42" customFormat="false" ht="7.5" hidden="false" customHeight="true" outlineLevel="0" collapsed="false"/>
    <row r="43" customFormat="false" ht="18" hidden="false" customHeight="true" outlineLevel="0" collapsed="false">
      <c r="B43" s="15" t="s">
        <v>48</v>
      </c>
      <c r="C43" s="15"/>
    </row>
    <row r="44" customFormat="false" ht="15.75" hidden="false" customHeight="true" outlineLevel="0" collapsed="false">
      <c r="B44" s="16" t="s">
        <v>49</v>
      </c>
      <c r="C44" s="16" t="s">
        <v>50</v>
      </c>
    </row>
    <row r="45" customFormat="false" ht="15.75" hidden="false" customHeight="true" outlineLevel="0" collapsed="false">
      <c r="B45" s="17" t="s">
        <v>51</v>
      </c>
      <c r="C45" s="18" t="n">
        <v>1800000</v>
      </c>
    </row>
    <row r="46" customFormat="false" ht="15.75" hidden="false" customHeight="true" outlineLevel="0" collapsed="false">
      <c r="B46" s="17" t="s">
        <v>52</v>
      </c>
      <c r="C46" s="18" t="n">
        <v>2450000</v>
      </c>
    </row>
    <row r="47" customFormat="false" ht="15.75" hidden="false" customHeight="true" outlineLevel="0" collapsed="false">
      <c r="B47" s="17" t="s">
        <v>53</v>
      </c>
      <c r="C47" s="18" t="n">
        <v>1100000</v>
      </c>
    </row>
    <row r="48" customFormat="false" ht="15.75" hidden="false" customHeight="true" outlineLevel="0" collapsed="false">
      <c r="B48" s="17" t="s">
        <v>54</v>
      </c>
      <c r="C48" s="18" t="n">
        <v>340000</v>
      </c>
    </row>
    <row r="49" customFormat="false" ht="15.75" hidden="false" customHeight="true" outlineLevel="0" collapsed="false">
      <c r="B49" s="17" t="s">
        <v>55</v>
      </c>
      <c r="C49" s="18" t="n">
        <v>1200000</v>
      </c>
    </row>
    <row r="50" customFormat="false" ht="15.75" hidden="false" customHeight="true" outlineLevel="0" collapsed="false">
      <c r="B50" s="17" t="s">
        <v>56</v>
      </c>
      <c r="C50" s="18" t="n">
        <v>575000</v>
      </c>
    </row>
    <row r="51" customFormat="false" ht="15.75" hidden="false" customHeight="true" outlineLevel="0" collapsed="false">
      <c r="B51" s="17" t="s">
        <v>57</v>
      </c>
      <c r="C51" s="18" t="n">
        <v>170000</v>
      </c>
    </row>
    <row r="52" customFormat="false" ht="15.75" hidden="false" customHeight="true" outlineLevel="0" collapsed="false">
      <c r="B52" s="17" t="s">
        <v>58</v>
      </c>
      <c r="C52" s="18" t="n">
        <v>250000</v>
      </c>
    </row>
    <row r="53" customFormat="false" ht="15.75" hidden="false" customHeight="true" outlineLevel="0" collapsed="false">
      <c r="B53" s="17" t="s">
        <v>59</v>
      </c>
      <c r="C53" s="18" t="n">
        <v>200000</v>
      </c>
    </row>
    <row r="54" customFormat="false" ht="15.75" hidden="false" customHeight="true" outlineLevel="0" collapsed="false">
      <c r="B54" s="17" t="s">
        <v>60</v>
      </c>
      <c r="C54" s="18" t="n">
        <v>40000</v>
      </c>
    </row>
    <row r="55" customFormat="false" ht="15.75" hidden="false" customHeight="true" outlineLevel="0" collapsed="false">
      <c r="B55" s="17" t="s">
        <v>61</v>
      </c>
      <c r="C55" s="18" t="n">
        <v>70000</v>
      </c>
    </row>
    <row r="56" customFormat="false" ht="15.75" hidden="false" customHeight="true" outlineLevel="0" collapsed="false">
      <c r="B56" s="17" t="s">
        <v>62</v>
      </c>
      <c r="C56" s="18" t="n">
        <v>460000</v>
      </c>
    </row>
    <row r="57" customFormat="false" ht="15.75" hidden="false" customHeight="true" outlineLevel="0" collapsed="false">
      <c r="B57" s="17" t="s">
        <v>63</v>
      </c>
      <c r="C57" s="18" t="n">
        <v>80000</v>
      </c>
    </row>
    <row r="58" customFormat="false" ht="15.75" hidden="false" customHeight="true" outlineLevel="0" collapsed="false">
      <c r="B58" s="17" t="s">
        <v>64</v>
      </c>
      <c r="C58" s="18" t="n">
        <v>40000</v>
      </c>
    </row>
    <row r="59" customFormat="false" ht="15.75" hidden="false" customHeight="true" outlineLevel="0" collapsed="false">
      <c r="B59" s="16" t="s">
        <v>65</v>
      </c>
      <c r="C59" s="19" t="n">
        <f aca="false">SUM(C45:C58)</f>
        <v>8775000</v>
      </c>
    </row>
  </sheetData>
  <mergeCells count="3">
    <mergeCell ref="B2:F2"/>
    <mergeCell ref="B3:F3"/>
    <mergeCell ref="B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9" min="8" style="1" width="18"/>
    <col collapsed="false" customWidth="true" hidden="false" outlineLevel="0" max="10" min="10" style="1" width="14"/>
    <col collapsed="false" customWidth="true" hidden="false" outlineLevel="0" max="11" min="11" style="1" width="28"/>
  </cols>
  <sheetData>
    <row r="1" customFormat="false" ht="17.25" hidden="false" customHeight="true" outlineLevel="0" collapsed="false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20" t="s">
        <v>67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39.75" hidden="false" customHeight="true" outlineLevel="0" collapsed="false">
      <c r="A3" s="21" t="s">
        <v>68</v>
      </c>
      <c r="B3" s="21" t="s">
        <v>69</v>
      </c>
      <c r="C3" s="21" t="s">
        <v>70</v>
      </c>
      <c r="D3" s="21" t="s">
        <v>71</v>
      </c>
      <c r="E3" s="21" t="s">
        <v>72</v>
      </c>
      <c r="F3" s="21" t="s">
        <v>73</v>
      </c>
      <c r="G3" s="21" t="s">
        <v>74</v>
      </c>
      <c r="H3" s="21" t="s">
        <v>75</v>
      </c>
      <c r="I3" s="21" t="s">
        <v>76</v>
      </c>
      <c r="J3" s="21" t="s">
        <v>77</v>
      </c>
      <c r="K3" s="21" t="s">
        <v>78</v>
      </c>
    </row>
    <row r="4" customFormat="false" ht="15" hidden="false" customHeight="true" outlineLevel="0" collapsed="false">
      <c r="A4" s="22" t="n">
        <v>57</v>
      </c>
      <c r="B4" s="23" t="n">
        <v>2032</v>
      </c>
      <c r="C4" s="24" t="n">
        <f aca="false">E4*'Assumptions &amp; Summary'!$C$23</f>
        <v>300000</v>
      </c>
      <c r="D4" s="24" t="n">
        <v>0</v>
      </c>
      <c r="E4" s="24" t="n">
        <f aca="false">'Assumptions &amp; Summary'!C27/'Assumptions &amp; Summary'!C23</f>
        <v>7500000</v>
      </c>
      <c r="F4" s="24" t="n">
        <f aca="false">(('Assumptions &amp; Summary'!$F$16-'Assumptions &amp; Summary'!$F$18-'Assumptions &amp; Summary'!$F$20)*(1+'Assumptions &amp; Summary'!$C$26)^6+'Assumptions &amp; Summary'!$F$18*(1+'Assumptions &amp; Summary'!$C$26)^6+'Assumptions &amp; Summary'!$F$20*(1+'Assumptions &amp; Summary'!$C$26)^6)</f>
        <v>268661.766719025</v>
      </c>
      <c r="G4" s="25" t="n">
        <f aca="false">(C4*(1-'Assumptions &amp; Summary'!$C$25)+D4*0.85*(1-'Assumptions &amp; Summary'!$C$25))-F4</f>
        <v>-28661.766719025</v>
      </c>
      <c r="H4" s="24" t="n">
        <f aca="false">E4+I4</f>
        <v>11876689.8784256</v>
      </c>
      <c r="I4" s="24" t="n">
        <f aca="false">'Assumptions &amp; Summary'!C19-E4</f>
        <v>4376689.8784256</v>
      </c>
      <c r="J4" s="26" t="n">
        <f aca="false">MAX(0,G4)</f>
        <v>0</v>
      </c>
      <c r="K4" s="27" t="s">
        <v>79</v>
      </c>
    </row>
    <row r="5" customFormat="false" ht="15" hidden="false" customHeight="true" outlineLevel="0" collapsed="false">
      <c r="A5" s="28" t="n">
        <v>58</v>
      </c>
      <c r="B5" s="29" t="n">
        <v>2033</v>
      </c>
      <c r="C5" s="12" t="n">
        <f aca="false">E5*'Assumptions &amp; Summary'!$C$23</f>
        <v>309000</v>
      </c>
      <c r="D5" s="12" t="n">
        <v>0</v>
      </c>
      <c r="E5" s="12" t="n">
        <f aca="false">E4*(1+'Assumptions &amp; Summary'!$C$26)</f>
        <v>7725000</v>
      </c>
      <c r="F5" s="12" t="n">
        <f aca="false">(('Assumptions &amp; Summary'!$F$16-'Assumptions &amp; Summary'!$F$18-'Assumptions &amp; Summary'!$F$20)*(1+'Assumptions &amp; Summary'!$C$26)^7+'Assumptions &amp; Summary'!$F$18*(1+'Assumptions &amp; Summary'!$C$26)^7+'Assumptions &amp; Summary'!$F$20*(1+'Assumptions &amp; Summary'!$C$26)^7)</f>
        <v>276721.619720596</v>
      </c>
      <c r="G5" s="30" t="n">
        <f aca="false">(C5*(1-'Assumptions &amp; Summary'!$C$25)+D5*0.85*(1-'Assumptions &amp; Summary'!$C$25))-F5</f>
        <v>-29521.6197205958</v>
      </c>
      <c r="H5" s="12" t="n">
        <f aca="false">E5+I5</f>
        <v>12276757.4735626</v>
      </c>
      <c r="I5" s="12" t="n">
        <f aca="false">I4*(1+'Assumptions &amp; Summary'!$C$24)+J4</f>
        <v>4551757.47356263</v>
      </c>
      <c r="J5" s="31" t="n">
        <f aca="false">MAX(0,G5)</f>
        <v>0</v>
      </c>
      <c r="K5" s="32"/>
    </row>
    <row r="6" customFormat="false" ht="15" hidden="false" customHeight="true" outlineLevel="0" collapsed="false">
      <c r="A6" s="33" t="n">
        <v>59</v>
      </c>
      <c r="B6" s="34" t="n">
        <v>2034</v>
      </c>
      <c r="C6" s="35" t="n">
        <f aca="false">E6*'Assumptions &amp; Summary'!$C$23</f>
        <v>318270</v>
      </c>
      <c r="D6" s="35" t="n">
        <v>0</v>
      </c>
      <c r="E6" s="35" t="n">
        <f aca="false">E5*(1+'Assumptions &amp; Summary'!$C$26)</f>
        <v>7956750</v>
      </c>
      <c r="F6" s="35" t="n">
        <f aca="false">(('Assumptions &amp; Summary'!$F$16-'Assumptions &amp; Summary'!$F$18-'Assumptions &amp; Summary'!$F$20)*(1+'Assumptions &amp; Summary'!$C$26)^8+'Assumptions &amp; Summary'!$F$18*(1+'Assumptions &amp; Summary'!$C$26)^8+'Assumptions &amp; Summary'!$F$20*(1+'Assumptions &amp; Summary'!$C$26)^8)</f>
        <v>285023.268312214</v>
      </c>
      <c r="G6" s="36" t="n">
        <f aca="false">(C6*(1-'Assumptions &amp; Summary'!$C$25)+D6*0.85*(1-'Assumptions &amp; Summary'!$C$25))-F6</f>
        <v>-30407.2683122137</v>
      </c>
      <c r="H6" s="35" t="n">
        <f aca="false">E6+I6</f>
        <v>12690577.7725051</v>
      </c>
      <c r="I6" s="35" t="n">
        <f aca="false">I5*(1+'Assumptions &amp; Summary'!$C$24)+J5</f>
        <v>4733827.77250513</v>
      </c>
      <c r="J6" s="37" t="n">
        <f aca="false">MAX(0,G6)</f>
        <v>0</v>
      </c>
      <c r="K6" s="38"/>
    </row>
    <row r="7" customFormat="false" ht="15" hidden="false" customHeight="true" outlineLevel="0" collapsed="false">
      <c r="A7" s="28" t="n">
        <v>60</v>
      </c>
      <c r="B7" s="29" t="n">
        <v>2035</v>
      </c>
      <c r="C7" s="12" t="n">
        <f aca="false">E7*'Assumptions &amp; Summary'!$C$23</f>
        <v>327818.1</v>
      </c>
      <c r="D7" s="12" t="n">
        <v>0</v>
      </c>
      <c r="E7" s="12" t="n">
        <f aca="false">E6*(1+'Assumptions &amp; Summary'!$C$26)</f>
        <v>8195452.5</v>
      </c>
      <c r="F7" s="12" t="n">
        <f aca="false">(('Assumptions &amp; Summary'!$F$16-'Assumptions &amp; Summary'!$F$18-'Assumptions &amp; Summary'!$F$20)*(1+'Assumptions &amp; Summary'!$C$26)^9+'Assumptions &amp; Summary'!$F$18*(1+'Assumptions &amp; Summary'!$C$26)^9+'Assumptions &amp; Summary'!$F$20*(1+'Assumptions &amp; Summary'!$C$26)^9)</f>
        <v>293573.96636158</v>
      </c>
      <c r="G7" s="30" t="n">
        <f aca="false">(C7*(1-'Assumptions &amp; Summary'!$C$25)+D7*0.85*(1-'Assumptions &amp; Summary'!$C$25))-F7</f>
        <v>-31319.4863615801</v>
      </c>
      <c r="H7" s="12" t="n">
        <f aca="false">E7+I7</f>
        <v>13118633.3834053</v>
      </c>
      <c r="I7" s="12" t="n">
        <f aca="false">I6*(1+'Assumptions &amp; Summary'!$C$24)+J6</f>
        <v>4923180.88340534</v>
      </c>
      <c r="J7" s="31" t="n">
        <f aca="false">MAX(0,G7)</f>
        <v>0</v>
      </c>
      <c r="K7" s="32"/>
    </row>
    <row r="8" customFormat="false" ht="15" hidden="false" customHeight="true" outlineLevel="0" collapsed="false">
      <c r="A8" s="33" t="n">
        <v>61</v>
      </c>
      <c r="B8" s="34" t="n">
        <v>2036</v>
      </c>
      <c r="C8" s="35" t="n">
        <f aca="false">E8*'Assumptions &amp; Summary'!$C$23</f>
        <v>337652.643</v>
      </c>
      <c r="D8" s="35" t="n">
        <v>0</v>
      </c>
      <c r="E8" s="35" t="n">
        <f aca="false">E7*(1+'Assumptions &amp; Summary'!$C$26)</f>
        <v>8441316.075</v>
      </c>
      <c r="F8" s="35" t="n">
        <f aca="false">(('Assumptions &amp; Summary'!$F$16-'Assumptions &amp; Summary'!$F$18-'Assumptions &amp; Summary'!$F$20)*(1+'Assumptions &amp; Summary'!$C$26)^10+'Assumptions &amp; Summary'!$F$18*(1+'Assumptions &amp; Summary'!$C$26)^10+'Assumptions &amp; Summary'!$F$20*(1+'Assumptions &amp; Summary'!$C$26)^10)</f>
        <v>302381.185352428</v>
      </c>
      <c r="G8" s="36" t="n">
        <f aca="false">(C8*(1-'Assumptions &amp; Summary'!$C$25)+D8*0.85*(1-'Assumptions &amp; Summary'!$C$25))-F8</f>
        <v>-32259.0709524275</v>
      </c>
      <c r="H8" s="35" t="n">
        <f aca="false">E8+I8</f>
        <v>13561424.1937416</v>
      </c>
      <c r="I8" s="35" t="n">
        <f aca="false">I7*(1+'Assumptions &amp; Summary'!$C$24)+J7</f>
        <v>5120108.11874155</v>
      </c>
      <c r="J8" s="37" t="n">
        <f aca="false">MAX(0,G8)</f>
        <v>0</v>
      </c>
      <c r="K8" s="38"/>
    </row>
    <row r="9" customFormat="false" ht="15" hidden="false" customHeight="true" outlineLevel="0" collapsed="false">
      <c r="A9" s="28" t="n">
        <v>62</v>
      </c>
      <c r="B9" s="29" t="n">
        <v>2037</v>
      </c>
      <c r="C9" s="12" t="n">
        <f aca="false">E9*'Assumptions &amp; Summary'!$C$23</f>
        <v>347782.22229</v>
      </c>
      <c r="D9" s="12" t="n">
        <v>0</v>
      </c>
      <c r="E9" s="12" t="n">
        <f aca="false">E8*(1+'Assumptions &amp; Summary'!$C$26)</f>
        <v>8694555.55725</v>
      </c>
      <c r="F9" s="12" t="n">
        <f aca="false">(('Assumptions &amp; Summary'!$F$16-'Assumptions &amp; Summary'!$F$18-'Assumptions &amp; Summary'!$F$20)*(1+'Assumptions &amp; Summary'!$C$26)^11+'Assumptions &amp; Summary'!$F$18*(1+'Assumptions &amp; Summary'!$C$26)^11+'Assumptions &amp; Summary'!$F$20*(1+'Assumptions &amp; Summary'!$C$26)^11)</f>
        <v>311452.620913</v>
      </c>
      <c r="G9" s="30" t="n">
        <f aca="false">(C9*(1-'Assumptions &amp; Summary'!$C$25)+D9*0.85*(1-'Assumptions &amp; Summary'!$C$25))-F9</f>
        <v>-33226.8430810004</v>
      </c>
      <c r="H9" s="12" t="n">
        <f aca="false">E9+I9</f>
        <v>14019468.0007412</v>
      </c>
      <c r="I9" s="12" t="n">
        <f aca="false">I8*(1+'Assumptions &amp; Summary'!$C$24)+J8</f>
        <v>5324912.44349122</v>
      </c>
      <c r="J9" s="31" t="n">
        <f aca="false">MAX(0,G9)</f>
        <v>0</v>
      </c>
      <c r="K9" s="32"/>
    </row>
    <row r="10" customFormat="false" ht="15" hidden="false" customHeight="true" outlineLevel="0" collapsed="false">
      <c r="A10" s="33" t="n">
        <v>63</v>
      </c>
      <c r="B10" s="34" t="n">
        <v>2038</v>
      </c>
      <c r="C10" s="35" t="n">
        <f aca="false">E10*'Assumptions &amp; Summary'!$C$23</f>
        <v>358215.6889587</v>
      </c>
      <c r="D10" s="35" t="n">
        <v>0</v>
      </c>
      <c r="E10" s="35" t="n">
        <f aca="false">E9*(1+'Assumptions &amp; Summary'!$C$26)</f>
        <v>8955392.2239675</v>
      </c>
      <c r="F10" s="35" t="n">
        <f aca="false">(('Assumptions &amp; Summary'!$F$16-'Assumptions &amp; Summary'!$F$18-'Assumptions &amp; Summary'!$F$20)*(1+'Assumptions &amp; Summary'!$C$26)^12+'Assumptions &amp; Summary'!$F$18*(1+'Assumptions &amp; Summary'!$C$26)^12+'Assumptions &amp; Summary'!$F$20*(1+'Assumptions &amp; Summary'!$C$26)^12)</f>
        <v>320796.19954039</v>
      </c>
      <c r="G10" s="36" t="n">
        <f aca="false">(C10*(1-'Assumptions &amp; Summary'!$C$25)+D10*0.85*(1-'Assumptions &amp; Summary'!$C$25))-F10</f>
        <v>-34223.6483734304</v>
      </c>
      <c r="H10" s="35" t="n">
        <f aca="false">E10+I10</f>
        <v>14493301.1651984</v>
      </c>
      <c r="I10" s="35" t="n">
        <f aca="false">I9*(1+'Assumptions &amp; Summary'!$C$24)+J9</f>
        <v>5537908.94123086</v>
      </c>
      <c r="J10" s="37" t="n">
        <f aca="false">MAX(0,G10)</f>
        <v>0</v>
      </c>
      <c r="K10" s="38"/>
    </row>
    <row r="11" customFormat="false" ht="15" hidden="false" customHeight="true" outlineLevel="0" collapsed="false">
      <c r="A11" s="28" t="n">
        <v>64</v>
      </c>
      <c r="B11" s="29" t="n">
        <v>2039</v>
      </c>
      <c r="C11" s="12" t="n">
        <f aca="false">E11*'Assumptions &amp; Summary'!$C$23</f>
        <v>368962.159627461</v>
      </c>
      <c r="D11" s="12" t="n">
        <v>0</v>
      </c>
      <c r="E11" s="12" t="n">
        <f aca="false">E10*(1+'Assumptions &amp; Summary'!$C$26)</f>
        <v>9224053.99068653</v>
      </c>
      <c r="F11" s="12" t="n">
        <f aca="false">(('Assumptions &amp; Summary'!$F$16-'Assumptions &amp; Summary'!$F$18-'Assumptions &amp; Summary'!$F$20)*(1+'Assumptions &amp; Summary'!$C$26)^13+'Assumptions &amp; Summary'!$F$18*(1+'Assumptions &amp; Summary'!$C$26)^13+'Assumptions &amp; Summary'!$F$20*(1+'Assumptions &amp; Summary'!$C$26)^13)</f>
        <v>330420.085526602</v>
      </c>
      <c r="G11" s="30" t="n">
        <f aca="false">(C11*(1-'Assumptions &amp; Summary'!$C$25)+D11*0.85*(1-'Assumptions &amp; Summary'!$C$25))-F11</f>
        <v>-35250.3578246333</v>
      </c>
      <c r="H11" s="12" t="n">
        <f aca="false">E11+I11</f>
        <v>14983479.2895666</v>
      </c>
      <c r="I11" s="12" t="n">
        <f aca="false">I10*(1+'Assumptions &amp; Summary'!$C$24)+J10</f>
        <v>5759425.2988801</v>
      </c>
      <c r="J11" s="31" t="n">
        <f aca="false">MAX(0,G11)</f>
        <v>0</v>
      </c>
      <c r="K11" s="32"/>
    </row>
    <row r="12" customFormat="false" ht="15" hidden="false" customHeight="true" outlineLevel="0" collapsed="false">
      <c r="A12" s="22" t="n">
        <v>65</v>
      </c>
      <c r="B12" s="23" t="n">
        <v>2040</v>
      </c>
      <c r="C12" s="24" t="n">
        <f aca="false">E12*'Assumptions &amp; Summary'!$C$23</f>
        <v>380031.024416285</v>
      </c>
      <c r="D12" s="24" t="n">
        <v>0</v>
      </c>
      <c r="E12" s="24" t="n">
        <f aca="false">E11*(1+'Assumptions &amp; Summary'!$C$26)</f>
        <v>9500775.61040712</v>
      </c>
      <c r="F12" s="24" t="n">
        <f aca="false">(('Assumptions &amp; Summary'!$F$16-'Assumptions &amp; Summary'!$F$18-'Assumptions &amp; Summary'!$F$20)*(1+'Assumptions &amp; Summary'!$C$26)^14+'Assumptions &amp; Summary'!$F$18*(1+'Assumptions &amp; Summary'!$C$26)^14+'Assumptions &amp; Summary'!$F$21*(1+'Assumptions &amp; Summary'!$C$26)^14)</f>
        <v>314618.662769863</v>
      </c>
      <c r="G12" s="25" t="n">
        <f aca="false">(C12*(1-'Assumptions &amp; Summary'!$C$25)+D12*0.85*(1-'Assumptions &amp; Summary'!$C$25))-F12</f>
        <v>-10593.8432368354</v>
      </c>
      <c r="H12" s="24" t="n">
        <f aca="false">E12+I12</f>
        <v>15490577.9212424</v>
      </c>
      <c r="I12" s="24" t="n">
        <f aca="false">I11*(1+'Assumptions &amp; Summary'!$C$24)+J11</f>
        <v>5989802.3108353</v>
      </c>
      <c r="J12" s="26" t="n">
        <f aca="false">MAX(0,G12)</f>
        <v>0</v>
      </c>
      <c r="K12" s="27" t="s">
        <v>80</v>
      </c>
    </row>
    <row r="13" customFormat="false" ht="15" hidden="false" customHeight="true" outlineLevel="0" collapsed="false">
      <c r="A13" s="28" t="n">
        <v>66</v>
      </c>
      <c r="B13" s="29" t="n">
        <v>2041</v>
      </c>
      <c r="C13" s="12" t="n">
        <f aca="false">E13*'Assumptions &amp; Summary'!$C$23</f>
        <v>391431.955148773</v>
      </c>
      <c r="D13" s="12" t="n">
        <v>0</v>
      </c>
      <c r="E13" s="12" t="n">
        <f aca="false">E12*(1+'Assumptions &amp; Summary'!$C$26)</f>
        <v>9785798.87871934</v>
      </c>
      <c r="F13" s="12" t="n">
        <f aca="false">(('Assumptions &amp; Summary'!$F$16-'Assumptions &amp; Summary'!$F$18-'Assumptions &amp; Summary'!$F$20)*(1+'Assumptions &amp; Summary'!$C$26)^15+'Assumptions &amp; Summary'!$F$18*(1+'Assumptions &amp; Summary'!$C$26)^15+'Assumptions &amp; Summary'!$F$21*(1+'Assumptions &amp; Summary'!$C$26)^15)</f>
        <v>324057.222652959</v>
      </c>
      <c r="G13" s="30" t="n">
        <f aca="false">(C13*(1-'Assumptions &amp; Summary'!$C$25)+D13*0.85*(1-'Assumptions &amp; Summary'!$C$25))-F13</f>
        <v>-10911.6585339404</v>
      </c>
      <c r="H13" s="12" t="n">
        <f aca="false">E13+I13</f>
        <v>16015193.2819881</v>
      </c>
      <c r="I13" s="12" t="n">
        <f aca="false">I12*(1+'Assumptions &amp; Summary'!$C$24)+J12</f>
        <v>6229394.40326872</v>
      </c>
      <c r="J13" s="31" t="n">
        <f aca="false">MAX(0,G13)</f>
        <v>0</v>
      </c>
      <c r="K13" s="32" t="s">
        <v>81</v>
      </c>
    </row>
    <row r="14" customFormat="false" ht="15" hidden="false" customHeight="true" outlineLevel="0" collapsed="false">
      <c r="A14" s="22" t="n">
        <v>67</v>
      </c>
      <c r="B14" s="23" t="n">
        <v>2042</v>
      </c>
      <c r="C14" s="24" t="n">
        <f aca="false">E14*'Assumptions &amp; Summary'!$C$23</f>
        <v>403174.913803237</v>
      </c>
      <c r="D14" s="24" t="n">
        <f aca="false">'Assumptions &amp; Summary'!$C$12*(1+'Assumptions &amp; Summary'!$C$26)^16</f>
        <v>57769.4318075564</v>
      </c>
      <c r="E14" s="24" t="n">
        <f aca="false">E13*(1+'Assumptions &amp; Summary'!$C$26)</f>
        <v>10079372.8450809</v>
      </c>
      <c r="F14" s="24" t="n">
        <f aca="false">(('Assumptions &amp; Summary'!$F$16-'Assumptions &amp; Summary'!$F$18-'Assumptions &amp; Summary'!$F$20)*(1+'Assumptions &amp; Summary'!$C$26)^16+'Assumptions &amp; Summary'!$F$21*(1+'Assumptions &amp; Summary'!$C$26)^16)</f>
        <v>285637.746159584</v>
      </c>
      <c r="G14" s="25" t="n">
        <f aca="false">(C14*(1-'Assumptions &amp; Summary'!$C$25)+D14*0.85*(1-'Assumptions &amp; Summary'!$C$25))-F14</f>
        <v>76185.3985121434</v>
      </c>
      <c r="H14" s="24" t="n">
        <f aca="false">E14+I14</f>
        <v>16557943.0244804</v>
      </c>
      <c r="I14" s="24" t="n">
        <f aca="false">I13*(1+'Assumptions &amp; Summary'!$C$24)+J13</f>
        <v>6478570.17939946</v>
      </c>
      <c r="J14" s="26" t="n">
        <f aca="false">MAX(0,G14)</f>
        <v>76185.3985121434</v>
      </c>
      <c r="K14" s="27" t="s">
        <v>82</v>
      </c>
    </row>
    <row r="15" customFormat="false" ht="15" hidden="false" customHeight="true" outlineLevel="0" collapsed="false">
      <c r="A15" s="28" t="n">
        <v>68</v>
      </c>
      <c r="B15" s="29" t="n">
        <v>2043</v>
      </c>
      <c r="C15" s="12" t="n">
        <f aca="false">E15*'Assumptions &amp; Summary'!$C$23</f>
        <v>415270.161217334</v>
      </c>
      <c r="D15" s="12" t="n">
        <f aca="false">'Assumptions &amp; Summary'!$C$12*(1+'Assumptions &amp; Summary'!$C$26)^17</f>
        <v>59502.5147617831</v>
      </c>
      <c r="E15" s="12" t="n">
        <f aca="false">E14*(1+'Assumptions &amp; Summary'!$C$26)</f>
        <v>10381754.0304333</v>
      </c>
      <c r="F15" s="12" t="n">
        <f aca="false">(('Assumptions &amp; Summary'!$F$16-'Assumptions &amp; Summary'!$F$18-'Assumptions &amp; Summary'!$F$20)*(1+'Assumptions &amp; Summary'!$C$26)^17+'Assumptions &amp; Summary'!$F$21*(1+'Assumptions &amp; Summary'!$C$26)^17)</f>
        <v>294206.878544372</v>
      </c>
      <c r="G15" s="30" t="n">
        <f aca="false">(C15*(1-'Assumptions &amp; Summary'!$C$25)+D15*0.85*(1-'Assumptions &amp; Summary'!$C$25))-F15</f>
        <v>78470.9604675077</v>
      </c>
      <c r="H15" s="12" t="n">
        <f aca="false">E15+I15</f>
        <v>17195652.4155209</v>
      </c>
      <c r="I15" s="12" t="n">
        <f aca="false">I14*(1+'Assumptions &amp; Summary'!$C$24)+J14</f>
        <v>6813898.38508759</v>
      </c>
      <c r="J15" s="31" t="n">
        <f aca="false">MAX(0,G15)</f>
        <v>78470.9604675077</v>
      </c>
      <c r="K15" s="32"/>
    </row>
    <row r="16" customFormat="false" ht="15" hidden="false" customHeight="true" outlineLevel="0" collapsed="false">
      <c r="A16" s="33" t="n">
        <v>69</v>
      </c>
      <c r="B16" s="34" t="n">
        <v>2044</v>
      </c>
      <c r="C16" s="35" t="n">
        <f aca="false">E16*'Assumptions &amp; Summary'!$C$23</f>
        <v>427728.266053854</v>
      </c>
      <c r="D16" s="35" t="n">
        <f aca="false">'Assumptions &amp; Summary'!$C$12*(1+'Assumptions &amp; Summary'!$C$26)^18</f>
        <v>61287.5902046366</v>
      </c>
      <c r="E16" s="35" t="n">
        <f aca="false">E15*(1+'Assumptions &amp; Summary'!$C$26)</f>
        <v>10693206.6513463</v>
      </c>
      <c r="F16" s="35" t="n">
        <f aca="false">(('Assumptions &amp; Summary'!$F$16-'Assumptions &amp; Summary'!$F$18-'Assumptions &amp; Summary'!$F$20)*(1+'Assumptions &amp; Summary'!$C$26)^18+'Assumptions &amp; Summary'!$F$21*(1+'Assumptions &amp; Summary'!$C$26)^18)</f>
        <v>303033.084900703</v>
      </c>
      <c r="G16" s="36" t="n">
        <f aca="false">(C16*(1-'Assumptions &amp; Summary'!$C$25)+D16*0.85*(1-'Assumptions &amp; Summary'!$C$25))-F16</f>
        <v>80825.0892815329</v>
      </c>
      <c r="H16" s="35" t="n">
        <f aca="false">E16+I16</f>
        <v>17858131.9323049</v>
      </c>
      <c r="I16" s="35" t="n">
        <f aca="false">I15*(1+'Assumptions &amp; Summary'!$C$24)+J15</f>
        <v>7164925.2809586</v>
      </c>
      <c r="J16" s="37" t="n">
        <f aca="false">MAX(0,G16)</f>
        <v>80825.0892815329</v>
      </c>
      <c r="K16" s="38"/>
    </row>
    <row r="17" customFormat="false" ht="15" hidden="false" customHeight="true" outlineLevel="0" collapsed="false">
      <c r="A17" s="28" t="n">
        <v>70</v>
      </c>
      <c r="B17" s="29" t="n">
        <v>2045</v>
      </c>
      <c r="C17" s="12" t="n">
        <f aca="false">E17*'Assumptions &amp; Summary'!$C$23</f>
        <v>440560.114035469</v>
      </c>
      <c r="D17" s="12" t="n">
        <f aca="false">'Assumptions &amp; Summary'!$C$12*(1+'Assumptions &amp; Summary'!$C$26)^19</f>
        <v>63126.2179107757</v>
      </c>
      <c r="E17" s="12" t="n">
        <f aca="false">E16*(1+'Assumptions &amp; Summary'!$C$26)</f>
        <v>11014002.8508867</v>
      </c>
      <c r="F17" s="12" t="n">
        <f aca="false">(('Assumptions &amp; Summary'!$F$16-'Assumptions &amp; Summary'!$F$18-'Assumptions &amp; Summary'!$F$20)*(1+'Assumptions &amp; Summary'!$C$26)^19+'Assumptions &amp; Summary'!$F$21*(1+'Assumptions &amp; Summary'!$C$26)^19)</f>
        <v>312124.077447724</v>
      </c>
      <c r="G17" s="30" t="n">
        <f aca="false">(C17*(1-'Assumptions &amp; Summary'!$C$25)+D17*0.85*(1-'Assumptions &amp; Summary'!$C$25))-F17</f>
        <v>83249.8419599789</v>
      </c>
      <c r="H17" s="12" t="n">
        <f aca="false">E17+I17</f>
        <v>18546350.2323652</v>
      </c>
      <c r="I17" s="12" t="n">
        <f aca="false">I16*(1+'Assumptions &amp; Summary'!$C$24)+J16</f>
        <v>7532347.38147848</v>
      </c>
      <c r="J17" s="31" t="n">
        <f aca="false">MAX(0,G17)</f>
        <v>83249.8419599789</v>
      </c>
      <c r="K17" s="32"/>
    </row>
    <row r="18" customFormat="false" ht="15" hidden="false" customHeight="true" outlineLevel="0" collapsed="false">
      <c r="A18" s="33" t="n">
        <v>71</v>
      </c>
      <c r="B18" s="34" t="n">
        <v>2046</v>
      </c>
      <c r="C18" s="35" t="n">
        <f aca="false">E18*'Assumptions &amp; Summary'!$C$23</f>
        <v>453776.917456533</v>
      </c>
      <c r="D18" s="35" t="n">
        <f aca="false">'Assumptions &amp; Summary'!$C$12*(1+'Assumptions &amp; Summary'!$C$26)^20</f>
        <v>65020.0044480989</v>
      </c>
      <c r="E18" s="35" t="n">
        <f aca="false">E17*(1+'Assumptions &amp; Summary'!$C$26)</f>
        <v>11344422.9364133</v>
      </c>
      <c r="F18" s="35" t="n">
        <f aca="false">(('Assumptions &amp; Summary'!$F$16-'Assumptions &amp; Summary'!$F$18-'Assumptions &amp; Summary'!$F$20)*(1+'Assumptions &amp; Summary'!$C$26)^20+'Assumptions &amp; Summary'!$F$21*(1+'Assumptions &amp; Summary'!$C$26)^20)</f>
        <v>321487.799771156</v>
      </c>
      <c r="G18" s="36" t="n">
        <f aca="false">(C18*(1-'Assumptions &amp; Summary'!$C$25)+D18*0.85*(1-'Assumptions &amp; Summary'!$C$25))-F18</f>
        <v>85747.3372187783</v>
      </c>
      <c r="H18" s="35" t="n">
        <f aca="false">E18+I18</f>
        <v>19261314.0551109</v>
      </c>
      <c r="I18" s="35" t="n">
        <f aca="false">I17*(1+'Assumptions &amp; Summary'!$C$24)+J17</f>
        <v>7916891.11869759</v>
      </c>
      <c r="J18" s="37" t="n">
        <f aca="false">MAX(0,G18)</f>
        <v>85747.3372187783</v>
      </c>
      <c r="K18" s="38"/>
    </row>
    <row r="19" customFormat="false" ht="15" hidden="false" customHeight="true" outlineLevel="0" collapsed="false">
      <c r="A19" s="28" t="n">
        <v>72</v>
      </c>
      <c r="B19" s="29" t="n">
        <v>2047</v>
      </c>
      <c r="C19" s="12" t="n">
        <f aca="false">E19*'Assumptions &amp; Summary'!$C$23</f>
        <v>467390.22498023</v>
      </c>
      <c r="D19" s="12" t="n">
        <f aca="false">'Assumptions &amp; Summary'!$C$12*(1+'Assumptions &amp; Summary'!$C$26)^21</f>
        <v>66970.6045815419</v>
      </c>
      <c r="E19" s="12" t="n">
        <f aca="false">E18*(1+'Assumptions &amp; Summary'!$C$26)</f>
        <v>11684755.6245057</v>
      </c>
      <c r="F19" s="12" t="n">
        <f aca="false">(('Assumptions &amp; Summary'!$F$16-'Assumptions &amp; Summary'!$F$18-'Assumptions &amp; Summary'!$F$20)*(1+'Assumptions &amp; Summary'!$C$26)^21+'Assumptions &amp; Summary'!$F$21*(1+'Assumptions &amp; Summary'!$C$26)^21)</f>
        <v>331132.433764291</v>
      </c>
      <c r="G19" s="30" t="n">
        <f aca="false">(C19*(1-'Assumptions &amp; Summary'!$C$25)+D19*0.85*(1-'Assumptions &amp; Summary'!$C$25))-F19</f>
        <v>88319.7573353416</v>
      </c>
      <c r="H19" s="12" t="n">
        <f aca="false">E19+I19</f>
        <v>20004069.72517</v>
      </c>
      <c r="I19" s="12" t="n">
        <f aca="false">I18*(1+'Assumptions &amp; Summary'!$C$24)+J18</f>
        <v>8319314.10066428</v>
      </c>
      <c r="J19" s="31" t="n">
        <f aca="false">MAX(0,G19)</f>
        <v>88319.7573353416</v>
      </c>
      <c r="K19" s="32"/>
    </row>
    <row r="20" customFormat="false" ht="15" hidden="false" customHeight="true" outlineLevel="0" collapsed="false">
      <c r="A20" s="33" t="n">
        <v>73</v>
      </c>
      <c r="B20" s="34" t="n">
        <v>2048</v>
      </c>
      <c r="C20" s="35" t="n">
        <f aca="false">E20*'Assumptions &amp; Summary'!$C$23</f>
        <v>481411.931729636</v>
      </c>
      <c r="D20" s="35" t="n">
        <f aca="false">'Assumptions &amp; Summary'!$C$12*(1+'Assumptions &amp; Summary'!$C$26)^22</f>
        <v>68979.7227189882</v>
      </c>
      <c r="E20" s="35" t="n">
        <f aca="false">E19*(1+'Assumptions &amp; Summary'!$C$26)</f>
        <v>12035298.2932409</v>
      </c>
      <c r="F20" s="35" t="n">
        <f aca="false">(('Assumptions &amp; Summary'!$F$16-'Assumptions &amp; Summary'!$F$18-'Assumptions &amp; Summary'!$F$20)*(1+'Assumptions &amp; Summary'!$C$26)^22+'Assumptions &amp; Summary'!$F$21*(1+'Assumptions &amp; Summary'!$C$26)^22)</f>
        <v>341066.406777219</v>
      </c>
      <c r="G20" s="36" t="n">
        <f aca="false">(C20*(1-'Assumptions &amp; Summary'!$C$25)+D20*0.85*(1-'Assumptions &amp; Summary'!$C$25))-F20</f>
        <v>90969.3500554019</v>
      </c>
      <c r="H20" s="35" t="n">
        <f aca="false">E20+I20</f>
        <v>20775704.7152671</v>
      </c>
      <c r="I20" s="35" t="n">
        <f aca="false">I19*(1+'Assumptions &amp; Summary'!$C$24)+J19</f>
        <v>8740406.42202619</v>
      </c>
      <c r="J20" s="37" t="n">
        <f aca="false">MAX(0,G20)</f>
        <v>90969.3500554019</v>
      </c>
      <c r="K20" s="38"/>
    </row>
    <row r="21" customFormat="false" ht="15" hidden="false" customHeight="true" outlineLevel="0" collapsed="false">
      <c r="A21" s="28" t="n">
        <v>74</v>
      </c>
      <c r="B21" s="29" t="n">
        <v>2049</v>
      </c>
      <c r="C21" s="12" t="n">
        <f aca="false">E21*'Assumptions &amp; Summary'!$C$23</f>
        <v>495854.289681526</v>
      </c>
      <c r="D21" s="12" t="n">
        <f aca="false">'Assumptions &amp; Summary'!$C$12*(1+'Assumptions &amp; Summary'!$C$26)^23</f>
        <v>71049.1144005578</v>
      </c>
      <c r="E21" s="12" t="n">
        <f aca="false">E20*(1+'Assumptions &amp; Summary'!$C$26)</f>
        <v>12396357.2420381</v>
      </c>
      <c r="F21" s="12" t="n">
        <f aca="false">(('Assumptions &amp; Summary'!$F$16-'Assumptions &amp; Summary'!$F$18-'Assumptions &amp; Summary'!$F$20)*(1+'Assumptions &amp; Summary'!$C$26)^23+'Assumptions &amp; Summary'!$F$21*(1+'Assumptions &amp; Summary'!$C$26)^23)</f>
        <v>351298.398980536</v>
      </c>
      <c r="G21" s="30" t="n">
        <f aca="false">(C21*(1-'Assumptions &amp; Summary'!$C$25)+D21*0.85*(1-'Assumptions &amp; Summary'!$C$25))-F21</f>
        <v>93698.430557064</v>
      </c>
      <c r="H21" s="12" t="n">
        <f aca="false">E21+I21</f>
        <v>21577349.2710008</v>
      </c>
      <c r="I21" s="12" t="n">
        <f aca="false">I20*(1+'Assumptions &amp; Summary'!$C$24)+J20</f>
        <v>9180992.02896264</v>
      </c>
      <c r="J21" s="31" t="n">
        <f aca="false">MAX(0,G21)</f>
        <v>93698.430557064</v>
      </c>
      <c r="K21" s="32"/>
    </row>
    <row r="22" customFormat="false" ht="15" hidden="false" customHeight="true" outlineLevel="0" collapsed="false">
      <c r="A22" s="33" t="n">
        <v>75</v>
      </c>
      <c r="B22" s="34" t="n">
        <v>2050</v>
      </c>
      <c r="C22" s="35" t="n">
        <f aca="false">E22*'Assumptions &amp; Summary'!$C$23</f>
        <v>510729.918371971</v>
      </c>
      <c r="D22" s="35" t="n">
        <f aca="false">'Assumptions &amp; Summary'!$C$12*(1+'Assumptions &amp; Summary'!$C$26)^24</f>
        <v>73180.5878325745</v>
      </c>
      <c r="E22" s="35" t="n">
        <f aca="false">E21*(1+'Assumptions &amp; Summary'!$C$26)</f>
        <v>12768247.9592993</v>
      </c>
      <c r="F22" s="35" t="n">
        <f aca="false">(('Assumptions &amp; Summary'!$F$16-'Assumptions &amp; Summary'!$F$18-'Assumptions &amp; Summary'!$F$20)*(1+'Assumptions &amp; Summary'!$C$26)^24+'Assumptions &amp; Summary'!$F$21*(1+'Assumptions &amp; Summary'!$C$26)^24)</f>
        <v>361837.350949952</v>
      </c>
      <c r="G22" s="36" t="n">
        <f aca="false">(C22*(1-'Assumptions &amp; Summary'!$C$25)+D22*0.85*(1-'Assumptions &amp; Summary'!$C$25))-F22</f>
        <v>96509.3834737759</v>
      </c>
      <c r="H22" s="35" t="n">
        <f aca="false">E22+I22</f>
        <v>22410178.0999775</v>
      </c>
      <c r="I22" s="35" t="n">
        <f aca="false">I21*(1+'Assumptions &amp; Summary'!$C$24)+J21</f>
        <v>9641930.14067821</v>
      </c>
      <c r="J22" s="37" t="n">
        <f aca="false">MAX(0,G22)</f>
        <v>96509.3834737759</v>
      </c>
      <c r="K22" s="38"/>
    </row>
    <row r="23" customFormat="false" ht="15" hidden="false" customHeight="true" outlineLevel="0" collapsed="false">
      <c r="A23" s="28" t="n">
        <v>76</v>
      </c>
      <c r="B23" s="29" t="n">
        <v>2051</v>
      </c>
      <c r="C23" s="12" t="n">
        <f aca="false">E23*'Assumptions &amp; Summary'!$C$23</f>
        <v>526051.815923131</v>
      </c>
      <c r="D23" s="12" t="n">
        <f aca="false">'Assumptions &amp; Summary'!$C$12*(1+'Assumptions &amp; Summary'!$C$26)^25</f>
        <v>75376.0054675518</v>
      </c>
      <c r="E23" s="12" t="n">
        <f aca="false">E22*(1+'Assumptions &amp; Summary'!$C$26)</f>
        <v>13151295.3980783</v>
      </c>
      <c r="F23" s="12" t="n">
        <f aca="false">(('Assumptions &amp; Summary'!$F$16-'Assumptions &amp; Summary'!$F$18-'Assumptions &amp; Summary'!$F$20)*(1+'Assumptions &amp; Summary'!$C$26)^25+'Assumptions &amp; Summary'!$F$21*(1+'Assumptions &amp; Summary'!$C$26)^25)</f>
        <v>372692.47147845</v>
      </c>
      <c r="G23" s="30" t="n">
        <f aca="false">(C23*(1-'Assumptions &amp; Summary'!$C$25)+D23*0.85*(1-'Assumptions &amp; Summary'!$C$25))-F23</f>
        <v>99404.6649779892</v>
      </c>
      <c r="H23" s="12" t="n">
        <f aca="false">E23+I23</f>
        <v>23275412.1278574</v>
      </c>
      <c r="I23" s="12" t="n">
        <f aca="false">I22*(1+'Assumptions &amp; Summary'!$C$24)+J22</f>
        <v>10124116.7297791</v>
      </c>
      <c r="J23" s="31" t="n">
        <f aca="false">MAX(0,G23)</f>
        <v>99404.6649779892</v>
      </c>
      <c r="K23" s="32"/>
    </row>
    <row r="24" customFormat="false" ht="15" hidden="false" customHeight="true" outlineLevel="0" collapsed="false">
      <c r="A24" s="33" t="n">
        <v>77</v>
      </c>
      <c r="B24" s="34" t="n">
        <v>2052</v>
      </c>
      <c r="C24" s="35" t="n">
        <f aca="false">E24*'Assumptions &amp; Summary'!$C$23</f>
        <v>541833.370400825</v>
      </c>
      <c r="D24" s="35" t="n">
        <f aca="false">'Assumptions &amp; Summary'!$C$12*(1+'Assumptions &amp; Summary'!$C$26)^26</f>
        <v>77637.2856315783</v>
      </c>
      <c r="E24" s="35" t="n">
        <f aca="false">E23*(1+'Assumptions &amp; Summary'!$C$26)</f>
        <v>13545834.2600206</v>
      </c>
      <c r="F24" s="35" t="n">
        <f aca="false">(('Assumptions &amp; Summary'!$F$16-'Assumptions &amp; Summary'!$F$18-'Assumptions &amp; Summary'!$F$20)*(1+'Assumptions &amp; Summary'!$C$26)^26+'Assumptions &amp; Summary'!$F$21*(1+'Assumptions &amp; Summary'!$C$26)^26)</f>
        <v>383873.245622804</v>
      </c>
      <c r="G24" s="36" t="n">
        <f aca="false">(C24*(1-'Assumptions &amp; Summary'!$C$25)+D24*0.85*(1-'Assumptions &amp; Summary'!$C$25))-F24</f>
        <v>102386.804927329</v>
      </c>
      <c r="H24" s="35" t="n">
        <f aca="false">E24+I24</f>
        <v>24174320.3239689</v>
      </c>
      <c r="I24" s="35" t="n">
        <f aca="false">I23*(1+'Assumptions &amp; Summary'!$C$24)+J23</f>
        <v>10628486.0639483</v>
      </c>
      <c r="J24" s="37" t="n">
        <f aca="false">MAX(0,G24)</f>
        <v>102386.804927329</v>
      </c>
      <c r="K24" s="38"/>
    </row>
    <row r="25" customFormat="false" ht="15" hidden="false" customHeight="true" outlineLevel="0" collapsed="false">
      <c r="A25" s="28" t="n">
        <v>78</v>
      </c>
      <c r="B25" s="29" t="n">
        <v>2053</v>
      </c>
      <c r="C25" s="12" t="n">
        <f aca="false">E25*'Assumptions &amp; Summary'!$C$23</f>
        <v>558088.371512849</v>
      </c>
      <c r="D25" s="12" t="n">
        <f aca="false">'Assumptions &amp; Summary'!$C$12*(1+'Assumptions &amp; Summary'!$C$26)^27</f>
        <v>79966.4042005257</v>
      </c>
      <c r="E25" s="12" t="n">
        <f aca="false">E24*(1+'Assumptions &amp; Summary'!$C$26)</f>
        <v>13952209.2878212</v>
      </c>
      <c r="F25" s="12" t="n">
        <f aca="false">(('Assumptions &amp; Summary'!$F$16-'Assumptions &amp; Summary'!$F$18-'Assumptions &amp; Summary'!$F$20)*(1+'Assumptions &amp; Summary'!$C$26)^27+'Assumptions &amp; Summary'!$F$21*(1+'Assumptions &amp; Summary'!$C$26)^27)</f>
        <v>395389.442991488</v>
      </c>
      <c r="G25" s="30" t="n">
        <f aca="false">(C25*(1-'Assumptions &amp; Summary'!$C$25)+D25*0.85*(1-'Assumptions &amp; Summary'!$C$25))-F25</f>
        <v>105458.409075149</v>
      </c>
      <c r="H25" s="12" t="n">
        <f aca="false">E25+I25</f>
        <v>25108221.5992548</v>
      </c>
      <c r="I25" s="12" t="n">
        <f aca="false">I24*(1+'Assumptions &amp; Summary'!$C$24)+J24</f>
        <v>11156012.3114335</v>
      </c>
      <c r="J25" s="31" t="n">
        <f aca="false">MAX(0,G25)</f>
        <v>105458.409075149</v>
      </c>
      <c r="K25" s="32"/>
    </row>
    <row r="26" customFormat="false" ht="15" hidden="false" customHeight="true" outlineLevel="0" collapsed="false">
      <c r="A26" s="33" t="n">
        <v>79</v>
      </c>
      <c r="B26" s="34" t="n">
        <v>2054</v>
      </c>
      <c r="C26" s="35" t="n">
        <f aca="false">E26*'Assumptions &amp; Summary'!$C$23</f>
        <v>574831.022658235</v>
      </c>
      <c r="D26" s="35" t="n">
        <f aca="false">'Assumptions &amp; Summary'!$C$12*(1+'Assumptions &amp; Summary'!$C$26)^28</f>
        <v>82365.3963265415</v>
      </c>
      <c r="E26" s="35" t="n">
        <f aca="false">E25*(1+'Assumptions &amp; Summary'!$C$26)</f>
        <v>14370775.5664559</v>
      </c>
      <c r="F26" s="35" t="n">
        <f aca="false">(('Assumptions &amp; Summary'!$F$16-'Assumptions &amp; Summary'!$F$18-'Assumptions &amp; Summary'!$F$20)*(1+'Assumptions &amp; Summary'!$C$26)^28+'Assumptions &amp; Summary'!$F$21*(1+'Assumptions &amp; Summary'!$C$26)^28)</f>
        <v>407251.126281233</v>
      </c>
      <c r="G26" s="36" t="n">
        <f aca="false">(C26*(1-'Assumptions &amp; Summary'!$C$25)+D26*0.85*(1-'Assumptions &amp; Summary'!$C$25))-F26</f>
        <v>108622.161347403</v>
      </c>
      <c r="H26" s="35" t="n">
        <f aca="false">E26+I26</f>
        <v>26078486.7794219</v>
      </c>
      <c r="I26" s="35" t="n">
        <f aca="false">I25*(1+'Assumptions &amp; Summary'!$C$24)+J25</f>
        <v>11707711.212966</v>
      </c>
      <c r="J26" s="37" t="n">
        <f aca="false">MAX(0,G26)</f>
        <v>108622.161347403</v>
      </c>
      <c r="K26" s="38"/>
    </row>
    <row r="27" customFormat="false" ht="15" hidden="false" customHeight="true" outlineLevel="0" collapsed="false">
      <c r="A27" s="28" t="n">
        <v>80</v>
      </c>
      <c r="B27" s="29" t="n">
        <v>2055</v>
      </c>
      <c r="C27" s="12" t="n">
        <f aca="false">E27*'Assumptions &amp; Summary'!$C$23</f>
        <v>592075.953337982</v>
      </c>
      <c r="D27" s="12" t="n">
        <f aca="false">'Assumptions &amp; Summary'!$C$12*(1+'Assumptions &amp; Summary'!$C$26)^29</f>
        <v>84836.3582163377</v>
      </c>
      <c r="E27" s="12" t="n">
        <f aca="false">E26*(1+'Assumptions &amp; Summary'!$C$26)</f>
        <v>14801898.8334495</v>
      </c>
      <c r="F27" s="12" t="n">
        <f aca="false">(('Assumptions &amp; Summary'!$F$16-'Assumptions &amp; Summary'!$F$18-'Assumptions &amp; Summary'!$F$20)*(1+'Assumptions &amp; Summary'!$C$26)^29+'Assumptions &amp; Summary'!$F$21*(1+'Assumptions &amp; Summary'!$C$26)^29)</f>
        <v>419468.66006967</v>
      </c>
      <c r="G27" s="30" t="n">
        <f aca="false">(C27*(1-'Assumptions &amp; Summary'!$C$25)+D27*0.85*(1-'Assumptions &amp; Summary'!$C$25))-F27</f>
        <v>111880.826187825</v>
      </c>
      <c r="H27" s="12" t="n">
        <f aca="false">E27+I27</f>
        <v>27086540.6562816</v>
      </c>
      <c r="I27" s="12" t="n">
        <f aca="false">I26*(1+'Assumptions &amp; Summary'!$C$24)+J26</f>
        <v>12284641.8228321</v>
      </c>
      <c r="J27" s="31" t="n">
        <f aca="false">MAX(0,G27)</f>
        <v>111880.826187825</v>
      </c>
      <c r="K27" s="32"/>
    </row>
    <row r="28" customFormat="false" ht="15" hidden="false" customHeight="true" outlineLevel="0" collapsed="false">
      <c r="A28" s="33" t="n">
        <v>81</v>
      </c>
      <c r="B28" s="34" t="n">
        <v>2056</v>
      </c>
      <c r="C28" s="35" t="n">
        <f aca="false">E28*'Assumptions &amp; Summary'!$C$23</f>
        <v>609838.231938121</v>
      </c>
      <c r="D28" s="35" t="n">
        <f aca="false">'Assumptions &amp; Summary'!$C$12*(1+'Assumptions &amp; Summary'!$C$26)^30</f>
        <v>87381.4489628278</v>
      </c>
      <c r="E28" s="35" t="n">
        <f aca="false">E27*(1+'Assumptions &amp; Summary'!$C$26)</f>
        <v>15245955.798453</v>
      </c>
      <c r="F28" s="35" t="n">
        <f aca="false">(('Assumptions &amp; Summary'!$F$16-'Assumptions &amp; Summary'!$F$18-'Assumptions &amp; Summary'!$F$20)*(1+'Assumptions &amp; Summary'!$C$26)^30+'Assumptions &amp; Summary'!$F$21*(1+'Assumptions &amp; Summary'!$C$26)^30)</f>
        <v>432052.71987176</v>
      </c>
      <c r="G28" s="36" t="n">
        <f aca="false">(C28*(1-'Assumptions &amp; Summary'!$C$25)+D28*0.85*(1-'Assumptions &amp; Summary'!$C$25))-F28</f>
        <v>115237.25097346</v>
      </c>
      <c r="H28" s="35" t="n">
        <f aca="false">E28+I28</f>
        <v>28133864.1203862</v>
      </c>
      <c r="I28" s="35" t="n">
        <f aca="false">I27*(1+'Assumptions &amp; Summary'!$C$24)+J27</f>
        <v>12887908.3219332</v>
      </c>
      <c r="J28" s="37" t="n">
        <f aca="false">MAX(0,G28)</f>
        <v>115237.25097346</v>
      </c>
      <c r="K28" s="38"/>
    </row>
    <row r="29" customFormat="false" ht="15" hidden="false" customHeight="true" outlineLevel="0" collapsed="false">
      <c r="A29" s="28" t="n">
        <v>82</v>
      </c>
      <c r="B29" s="29" t="n">
        <v>2057</v>
      </c>
      <c r="C29" s="12" t="n">
        <f aca="false">E29*'Assumptions &amp; Summary'!$C$23</f>
        <v>628133.378896265</v>
      </c>
      <c r="D29" s="12" t="n">
        <f aca="false">'Assumptions &amp; Summary'!$C$12*(1+'Assumptions &amp; Summary'!$C$26)^31</f>
        <v>90002.8924317127</v>
      </c>
      <c r="E29" s="12" t="n">
        <f aca="false">E28*(1+'Assumptions &amp; Summary'!$C$26)</f>
        <v>15703334.4724066</v>
      </c>
      <c r="F29" s="12" t="n">
        <f aca="false">(('Assumptions &amp; Summary'!$F$16-'Assumptions &amp; Summary'!$F$18-'Assumptions &amp; Summary'!$F$20)*(1+'Assumptions &amp; Summary'!$C$26)^31+'Assumptions &amp; Summary'!$F$21*(1+'Assumptions &amp; Summary'!$C$26)^31)</f>
        <v>445014.301467913</v>
      </c>
      <c r="G29" s="30" t="n">
        <f aca="false">(C29*(1-'Assumptions &amp; Summary'!$C$25)+D29*0.85*(1-'Assumptions &amp; Summary'!$C$25))-F29</f>
        <v>118694.368502664</v>
      </c>
      <c r="H29" s="12" t="n">
        <f aca="false">E29+I29</f>
        <v>29221996.3781906</v>
      </c>
      <c r="I29" s="12" t="n">
        <f aca="false">I28*(1+'Assumptions &amp; Summary'!$C$24)+J28</f>
        <v>13518661.905784</v>
      </c>
      <c r="J29" s="31" t="n">
        <f aca="false">MAX(0,G29)</f>
        <v>118694.368502664</v>
      </c>
      <c r="K29" s="32"/>
    </row>
    <row r="30" customFormat="false" ht="15" hidden="false" customHeight="true" outlineLevel="0" collapsed="false">
      <c r="A30" s="33" t="n">
        <v>83</v>
      </c>
      <c r="B30" s="34" t="n">
        <v>2058</v>
      </c>
      <c r="C30" s="35" t="n">
        <f aca="false">E30*'Assumptions &amp; Summary'!$C$23</f>
        <v>646977.380263153</v>
      </c>
      <c r="D30" s="35" t="n">
        <f aca="false">'Assumptions &amp; Summary'!$C$12*(1+'Assumptions &amp; Summary'!$C$26)^32</f>
        <v>92702.9792046641</v>
      </c>
      <c r="E30" s="35" t="n">
        <f aca="false">E29*(1+'Assumptions &amp; Summary'!$C$26)</f>
        <v>16174434.5065788</v>
      </c>
      <c r="F30" s="35" t="n">
        <f aca="false">(('Assumptions &amp; Summary'!$F$16-'Assumptions &amp; Summary'!$F$18-'Assumptions &amp; Summary'!$F$20)*(1+'Assumptions &amp; Summary'!$C$26)^32+'Assumptions &amp; Summary'!$F$21*(1+'Assumptions &amp; Summary'!$C$26)^32)</f>
        <v>458364.73051195</v>
      </c>
      <c r="G30" s="36" t="n">
        <f aca="false">(C30*(1-'Assumptions &amp; Summary'!$C$25)+D30*0.85*(1-'Assumptions &amp; Summary'!$C$25))-F30</f>
        <v>122255.199557744</v>
      </c>
      <c r="H30" s="35" t="n">
        <f aca="false">E30+I30</f>
        <v>30352537.2570968</v>
      </c>
      <c r="I30" s="35" t="n">
        <f aca="false">I29*(1+'Assumptions &amp; Summary'!$C$24)+J29</f>
        <v>14178102.750518</v>
      </c>
      <c r="J30" s="37" t="n">
        <f aca="false">MAX(0,G30)</f>
        <v>122255.199557744</v>
      </c>
      <c r="K30" s="38"/>
    </row>
    <row r="31" customFormat="false" ht="15" hidden="false" customHeight="true" outlineLevel="0" collapsed="false">
      <c r="A31" s="28" t="n">
        <v>84</v>
      </c>
      <c r="B31" s="29" t="n">
        <v>2059</v>
      </c>
      <c r="C31" s="12" t="n">
        <f aca="false">E31*'Assumptions &amp; Summary'!$C$23</f>
        <v>666386.701671048</v>
      </c>
      <c r="D31" s="12" t="n">
        <f aca="false">'Assumptions &amp; Summary'!$C$12*(1+'Assumptions &amp; Summary'!$C$26)^33</f>
        <v>95484.068580804</v>
      </c>
      <c r="E31" s="12" t="n">
        <f aca="false">E30*(1+'Assumptions &amp; Summary'!$C$26)</f>
        <v>16659667.5417762</v>
      </c>
      <c r="F31" s="12" t="n">
        <f aca="false">(('Assumptions &amp; Summary'!$F$16-'Assumptions &amp; Summary'!$F$18-'Assumptions &amp; Summary'!$F$20)*(1+'Assumptions &amp; Summary'!$C$26)^33+'Assumptions &amp; Summary'!$F$21*(1+'Assumptions &amp; Summary'!$C$26)^33)</f>
        <v>472115.672427309</v>
      </c>
      <c r="G31" s="30" t="n">
        <f aca="false">(C31*(1-'Assumptions &amp; Summary'!$C$25)+D31*0.85*(1-'Assumptions &amp; Summary'!$C$25))-F31</f>
        <v>125922.855544476</v>
      </c>
      <c r="H31" s="12" t="n">
        <f aca="false">E31+I31</f>
        <v>31527149.6018726</v>
      </c>
      <c r="I31" s="12" t="n">
        <f aca="false">I30*(1+'Assumptions &amp; Summary'!$C$24)+J30</f>
        <v>14867482.0600964</v>
      </c>
      <c r="J31" s="31" t="n">
        <f aca="false">MAX(0,G31)</f>
        <v>125922.855544476</v>
      </c>
      <c r="K31" s="32"/>
    </row>
    <row r="32" customFormat="false" ht="15" hidden="false" customHeight="true" outlineLevel="0" collapsed="false">
      <c r="A32" s="33" t="n">
        <v>85</v>
      </c>
      <c r="B32" s="34" t="n">
        <v>2060</v>
      </c>
      <c r="C32" s="35" t="n">
        <f aca="false">E32*'Assumptions &amp; Summary'!$C$23</f>
        <v>686378.302721179</v>
      </c>
      <c r="D32" s="35" t="n">
        <f aca="false">'Assumptions &amp; Summary'!$C$12*(1+'Assumptions &amp; Summary'!$C$26)^34</f>
        <v>98348.5906382281</v>
      </c>
      <c r="E32" s="35" t="n">
        <f aca="false">E31*(1+'Assumptions &amp; Summary'!$C$26)</f>
        <v>17159457.5680295</v>
      </c>
      <c r="F32" s="35" t="n">
        <f aca="false">(('Assumptions &amp; Summary'!$F$16-'Assumptions &amp; Summary'!$F$18-'Assumptions &amp; Summary'!$F$20)*(1+'Assumptions &amp; Summary'!$C$26)^34+'Assumptions &amp; Summary'!$F$21*(1+'Assumptions &amp; Summary'!$C$26)^34)</f>
        <v>486279.142600128</v>
      </c>
      <c r="G32" s="36" t="n">
        <f aca="false">(C32*(1-'Assumptions &amp; Summary'!$C$25)+D32*0.85*(1-'Assumptions &amp; Summary'!$C$25))-F32</f>
        <v>129700.541210811</v>
      </c>
      <c r="H32" s="35" t="n">
        <f aca="false">E32+I32</f>
        <v>32747561.7660742</v>
      </c>
      <c r="I32" s="35" t="n">
        <f aca="false">I31*(1+'Assumptions &amp; Summary'!$C$24)+J31</f>
        <v>15588104.1980448</v>
      </c>
      <c r="J32" s="37" t="n">
        <f aca="false">MAX(0,G32)</f>
        <v>129700.541210811</v>
      </c>
      <c r="K32" s="38"/>
    </row>
    <row r="33" customFormat="false" ht="15" hidden="false" customHeight="true" outlineLevel="0" collapsed="false">
      <c r="A33" s="28" t="n">
        <v>86</v>
      </c>
      <c r="B33" s="29" t="n">
        <v>2061</v>
      </c>
      <c r="C33" s="12" t="n">
        <f aca="false">E33*'Assumptions &amp; Summary'!$C$23</f>
        <v>706969.651802814</v>
      </c>
      <c r="D33" s="12" t="n">
        <f aca="false">'Assumptions &amp; Summary'!$C$12*(1+'Assumptions &amp; Summary'!$C$26)^35</f>
        <v>101299.048357375</v>
      </c>
      <c r="E33" s="12" t="n">
        <f aca="false">E32*(1+'Assumptions &amp; Summary'!$C$26)</f>
        <v>17674241.2950704</v>
      </c>
      <c r="F33" s="12" t="n">
        <f aca="false">(('Assumptions &amp; Summary'!$F$16-'Assumptions &amp; Summary'!$F$18-'Assumptions &amp; Summary'!$F$20)*(1+'Assumptions &amp; Summary'!$C$26)^35+'Assumptions &amp; Summary'!$F$21*(1+'Assumptions &amp; Summary'!$C$26)^35)</f>
        <v>500867.516878132</v>
      </c>
      <c r="G33" s="30" t="n">
        <f aca="false">(C33*(1-'Assumptions &amp; Summary'!$C$25)+D33*0.85*(1-'Assumptions &amp; Summary'!$C$25))-F33</f>
        <v>133591.557447135</v>
      </c>
      <c r="H33" s="12" t="n">
        <f aca="false">E33+I33</f>
        <v>34015570.2022477</v>
      </c>
      <c r="I33" s="12" t="n">
        <f aca="false">I32*(1+'Assumptions &amp; Summary'!$C$24)+J32</f>
        <v>16341328.9071774</v>
      </c>
      <c r="J33" s="31" t="n">
        <f aca="false">MAX(0,G33)</f>
        <v>133591.557447135</v>
      </c>
      <c r="K33" s="32"/>
    </row>
    <row r="34" customFormat="false" ht="15" hidden="false" customHeight="true" outlineLevel="0" collapsed="false">
      <c r="A34" s="33" t="n">
        <v>87</v>
      </c>
      <c r="B34" s="34" t="n">
        <v>2062</v>
      </c>
      <c r="C34" s="35" t="n">
        <f aca="false">E34*'Assumptions &amp; Summary'!$C$23</f>
        <v>728178.741356899</v>
      </c>
      <c r="D34" s="35" t="n">
        <f aca="false">'Assumptions &amp; Summary'!$C$12*(1+'Assumptions &amp; Summary'!$C$26)^36</f>
        <v>104338.019808096</v>
      </c>
      <c r="E34" s="35" t="n">
        <f aca="false">E33*(1+'Assumptions &amp; Summary'!$C$26)</f>
        <v>18204468.5339225</v>
      </c>
      <c r="F34" s="35" t="n">
        <f aca="false">(('Assumptions &amp; Summary'!$F$16-'Assumptions &amp; Summary'!$F$18-'Assumptions &amp; Summary'!$F$20)*(1+'Assumptions &amp; Summary'!$C$26)^36+'Assumptions &amp; Summary'!$F$21*(1+'Assumptions &amp; Summary'!$C$26)^36)</f>
        <v>515893.542384476</v>
      </c>
      <c r="G34" s="36" t="n">
        <f aca="false">(C34*(1-'Assumptions &amp; Summary'!$C$25)+D34*0.85*(1-'Assumptions &amp; Summary'!$C$25))-F34</f>
        <v>137599.304170549</v>
      </c>
      <c r="H34" s="35" t="n">
        <f aca="false">E34+I34</f>
        <v>35333042.1548341</v>
      </c>
      <c r="I34" s="35" t="n">
        <f aca="false">I33*(1+'Assumptions &amp; Summary'!$C$24)+J33</f>
        <v>17128573.6209116</v>
      </c>
      <c r="J34" s="37" t="n">
        <f aca="false">MAX(0,G34)</f>
        <v>137599.304170549</v>
      </c>
      <c r="K34" s="38"/>
    </row>
    <row r="35" customFormat="false" ht="15" hidden="false" customHeight="true" outlineLevel="0" collapsed="false">
      <c r="A35" s="28" t="n">
        <v>88</v>
      </c>
      <c r="B35" s="29" t="n">
        <v>2063</v>
      </c>
      <c r="C35" s="12" t="n">
        <f aca="false">E35*'Assumptions &amp; Summary'!$C$23</f>
        <v>750024.103597606</v>
      </c>
      <c r="D35" s="12" t="n">
        <f aca="false">'Assumptions &amp; Summary'!$C$12*(1+'Assumptions &amp; Summary'!$C$26)^37</f>
        <v>107468.160402339</v>
      </c>
      <c r="E35" s="12" t="n">
        <f aca="false">E34*(1+'Assumptions &amp; Summary'!$C$26)</f>
        <v>18750602.5899401</v>
      </c>
      <c r="F35" s="12" t="n">
        <f aca="false">(('Assumptions &amp; Summary'!$F$16-'Assumptions &amp; Summary'!$F$18-'Assumptions &amp; Summary'!$F$20)*(1+'Assumptions &amp; Summary'!$C$26)^37+'Assumptions &amp; Summary'!$F$21*(1+'Assumptions &amp; Summary'!$C$26)^37)</f>
        <v>531370.34865601</v>
      </c>
      <c r="G35" s="30" t="n">
        <f aca="false">(C35*(1-'Assumptions &amp; Summary'!$C$25)+D35*0.85*(1-'Assumptions &amp; Summary'!$C$25))-F35</f>
        <v>141727.283295665</v>
      </c>
      <c r="H35" s="12" t="n">
        <f aca="false">E35+I35</f>
        <v>36701918.4598588</v>
      </c>
      <c r="I35" s="12" t="n">
        <f aca="false">I34*(1+'Assumptions &amp; Summary'!$C$24)+J34</f>
        <v>17951315.8699186</v>
      </c>
      <c r="J35" s="31" t="n">
        <f aca="false">MAX(0,G35)</f>
        <v>141727.283295665</v>
      </c>
      <c r="K35" s="32"/>
    </row>
    <row r="36" customFormat="false" ht="15" hidden="false" customHeight="true" outlineLevel="0" collapsed="false">
      <c r="A36" s="33" t="n">
        <v>89</v>
      </c>
      <c r="B36" s="34" t="n">
        <v>2064</v>
      </c>
      <c r="C36" s="35" t="n">
        <f aca="false">E36*'Assumptions &amp; Summary'!$C$23</f>
        <v>772524.826705534</v>
      </c>
      <c r="D36" s="35" t="n">
        <f aca="false">'Assumptions &amp; Summary'!$C$12*(1+'Assumptions &amp; Summary'!$C$26)^38</f>
        <v>110692.205214409</v>
      </c>
      <c r="E36" s="35" t="n">
        <f aca="false">E35*(1+'Assumptions &amp; Summary'!$C$26)</f>
        <v>19313120.6676383</v>
      </c>
      <c r="F36" s="35" t="n">
        <f aca="false">(('Assumptions &amp; Summary'!$F$16-'Assumptions &amp; Summary'!$F$18-'Assumptions &amp; Summary'!$F$20)*(1+'Assumptions &amp; Summary'!$C$26)^38+'Assumptions &amp; Summary'!$F$21*(1+'Assumptions &amp; Summary'!$C$26)^38)</f>
        <v>547311.45911569</v>
      </c>
      <c r="G36" s="36" t="n">
        <f aca="false">(C36*(1-'Assumptions &amp; Summary'!$C$25)+D36*0.85*(1-'Assumptions &amp; Summary'!$C$25))-F36</f>
        <v>145979.101794535</v>
      </c>
      <c r="H36" s="35" t="n">
        <f aca="false">E36+I36</f>
        <v>38124216.4556494</v>
      </c>
      <c r="I36" s="35" t="n">
        <f aca="false">I35*(1+'Assumptions &amp; Summary'!$C$24)+J35</f>
        <v>18811095.788011</v>
      </c>
      <c r="J36" s="37" t="n">
        <f aca="false">MAX(0,G36)</f>
        <v>145979.101794535</v>
      </c>
      <c r="K36" s="38"/>
    </row>
    <row r="37" customFormat="false" ht="15" hidden="false" customHeight="true" outlineLevel="0" collapsed="false">
      <c r="A37" s="22" t="n">
        <v>90</v>
      </c>
      <c r="B37" s="23" t="n">
        <v>2065</v>
      </c>
      <c r="C37" s="24" t="n">
        <f aca="false">E37*'Assumptions &amp; Summary'!$C$23</f>
        <v>795700.5715067</v>
      </c>
      <c r="D37" s="24" t="n">
        <f aca="false">'Assumptions &amp; Summary'!$C$12*(1+'Assumptions &amp; Summary'!$C$26)^39</f>
        <v>114012.971370842</v>
      </c>
      <c r="E37" s="24" t="n">
        <f aca="false">E36*(1+'Assumptions &amp; Summary'!$C$26)</f>
        <v>19892514.2876675</v>
      </c>
      <c r="F37" s="24" t="n">
        <f aca="false">(('Assumptions &amp; Summary'!$F$16-'Assumptions &amp; Summary'!$F$18-'Assumptions &amp; Summary'!$F$20)*(1+'Assumptions &amp; Summary'!$C$26)^39+'Assumptions &amp; Summary'!$F$21*(1+'Assumptions &amp; Summary'!$C$26)^39)</f>
        <v>563730.802889161</v>
      </c>
      <c r="G37" s="25" t="n">
        <f aca="false">(C37*(1-'Assumptions &amp; Summary'!$C$25)+D37*0.85*(1-'Assumptions &amp; Summary'!$C$25))-F37</f>
        <v>150358.474848371</v>
      </c>
      <c r="H37" s="24" t="n">
        <f aca="false">E37+I37</f>
        <v>39602033.0089935</v>
      </c>
      <c r="I37" s="24" t="n">
        <f aca="false">I36*(1+'Assumptions &amp; Summary'!$C$24)+J36</f>
        <v>19709518.721326</v>
      </c>
      <c r="J37" s="26" t="n">
        <f aca="false">MAX(0,G37)</f>
        <v>150358.474848371</v>
      </c>
      <c r="K37" s="27" t="s">
        <v>83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2" style="1" width="8"/>
    <col collapsed="false" customWidth="true" hidden="false" outlineLevel="0" max="6" min="4" style="1" width="18"/>
  </cols>
  <sheetData>
    <row r="1" customFormat="false" ht="17.25" hidden="false" customHeight="true" outlineLevel="0" collapsed="false">
      <c r="A1" s="2" t="s">
        <v>84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9" t="s">
        <v>85</v>
      </c>
      <c r="B2" s="39"/>
      <c r="C2" s="39"/>
      <c r="D2" s="39"/>
      <c r="E2" s="39"/>
      <c r="F2" s="39"/>
    </row>
    <row r="4" customFormat="false" ht="15" hidden="false" customHeight="true" outlineLevel="0" collapsed="false">
      <c r="B4" s="40" t="s">
        <v>68</v>
      </c>
      <c r="C4" s="40" t="s">
        <v>69</v>
      </c>
      <c r="D4" s="40" t="s">
        <v>86</v>
      </c>
      <c r="E4" s="40" t="s">
        <v>87</v>
      </c>
      <c r="F4" s="40" t="s">
        <v>88</v>
      </c>
    </row>
    <row r="5" customFormat="false" ht="15" hidden="false" customHeight="true" outlineLevel="0" collapsed="false">
      <c r="B5" s="33" t="n">
        <v>51</v>
      </c>
      <c r="C5" s="34" t="n">
        <v>2026</v>
      </c>
      <c r="D5" s="41" t="n">
        <v>8600000</v>
      </c>
      <c r="E5" s="41" t="n">
        <v>150000</v>
      </c>
      <c r="F5" s="35" t="n">
        <f aca="false">(D5+E5)*(1+'Assumptions &amp; Summary'!$C$18)</f>
        <v>9100000</v>
      </c>
    </row>
    <row r="6" customFormat="false" ht="15" hidden="false" customHeight="true" outlineLevel="0" collapsed="false">
      <c r="B6" s="28" t="n">
        <v>52</v>
      </c>
      <c r="C6" s="29" t="n">
        <v>2027</v>
      </c>
      <c r="D6" s="12" t="n">
        <f aca="false">F5</f>
        <v>9100000</v>
      </c>
      <c r="E6" s="42" t="n">
        <v>150000</v>
      </c>
      <c r="F6" s="12" t="n">
        <f aca="false">(D6+E6)*(1+'Assumptions &amp; Summary'!$C$18)</f>
        <v>9620000</v>
      </c>
    </row>
    <row r="7" customFormat="false" ht="15" hidden="false" customHeight="true" outlineLevel="0" collapsed="false">
      <c r="B7" s="33" t="n">
        <v>53</v>
      </c>
      <c r="C7" s="34" t="n">
        <v>2028</v>
      </c>
      <c r="D7" s="35" t="n">
        <f aca="false">F6</f>
        <v>9620000</v>
      </c>
      <c r="E7" s="41" t="n">
        <v>150000</v>
      </c>
      <c r="F7" s="35" t="n">
        <f aca="false">(D7+E7)*(1+'Assumptions &amp; Summary'!$C$18)</f>
        <v>10160800</v>
      </c>
    </row>
    <row r="8" customFormat="false" ht="15" hidden="false" customHeight="true" outlineLevel="0" collapsed="false">
      <c r="B8" s="28" t="n">
        <v>54</v>
      </c>
      <c r="C8" s="29" t="n">
        <v>2029</v>
      </c>
      <c r="D8" s="12" t="n">
        <f aca="false">F7</f>
        <v>10160800</v>
      </c>
      <c r="E8" s="42" t="n">
        <v>150000</v>
      </c>
      <c r="F8" s="12" t="n">
        <f aca="false">(D8+E8)*(1+'Assumptions &amp; Summary'!$C$18)</f>
        <v>10723232</v>
      </c>
    </row>
    <row r="9" customFormat="false" ht="15" hidden="false" customHeight="true" outlineLevel="0" collapsed="false">
      <c r="B9" s="33" t="n">
        <v>55</v>
      </c>
      <c r="C9" s="34" t="n">
        <v>2030</v>
      </c>
      <c r="D9" s="35" t="n">
        <f aca="false">F8</f>
        <v>10723232</v>
      </c>
      <c r="E9" s="41" t="n">
        <v>150000</v>
      </c>
      <c r="F9" s="35" t="n">
        <f aca="false">(D9+E9)*(1+'Assumptions &amp; Summary'!$C$18)</f>
        <v>11308161.28</v>
      </c>
    </row>
    <row r="10" customFormat="false" ht="15" hidden="false" customHeight="true" outlineLevel="0" collapsed="false">
      <c r="B10" s="28" t="n">
        <v>56</v>
      </c>
      <c r="C10" s="29" t="n">
        <v>2031</v>
      </c>
      <c r="D10" s="12" t="n">
        <f aca="false">F9</f>
        <v>11308161.28</v>
      </c>
      <c r="E10" s="42" t="n">
        <v>150000</v>
      </c>
      <c r="F10" s="12" t="n">
        <f aca="false">(D10+E10)*(1+'Assumptions &amp; Summary'!$C$18)</f>
        <v>11916487.7312</v>
      </c>
    </row>
    <row r="11" customFormat="false" ht="15" hidden="false" customHeight="true" outlineLevel="0" collapsed="false">
      <c r="B11" s="43" t="s">
        <v>89</v>
      </c>
      <c r="D11" s="44" t="n">
        <f aca="false">F10</f>
        <v>11916487.7312</v>
      </c>
      <c r="E11" s="43" t="s">
        <v>90</v>
      </c>
    </row>
    <row r="13" customFormat="false" ht="15" hidden="false" customHeight="true" outlineLevel="0" collapsed="false">
      <c r="B13" s="43" t="s">
        <v>91</v>
      </c>
      <c r="D13" s="45" t="n">
        <f aca="false">SUM(E5:E10)</f>
        <v>900000</v>
      </c>
    </row>
    <row r="14" customFormat="false" ht="15" hidden="false" customHeight="true" outlineLevel="0" collapsed="false">
      <c r="B14" s="43" t="s">
        <v>92</v>
      </c>
      <c r="D14" s="45" t="n">
        <f aca="false">F10-D5-SUM(E5:E10)</f>
        <v>2416487.7312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42"/>
  </cols>
  <sheetData>
    <row r="1" customFormat="false" ht="17.25" hidden="false" customHeight="true" outlineLevel="0" collapsed="false">
      <c r="A1" s="2" t="s">
        <v>93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9" t="s">
        <v>94</v>
      </c>
      <c r="B2" s="39"/>
      <c r="C2" s="39"/>
      <c r="D2" s="39"/>
      <c r="E2" s="39"/>
      <c r="F2" s="39"/>
      <c r="G2" s="39"/>
    </row>
    <row r="4" customFormat="false" ht="15" hidden="false" customHeight="true" outlineLevel="0" collapsed="false">
      <c r="B4" s="46" t="s">
        <v>95</v>
      </c>
      <c r="C4" s="47"/>
      <c r="D4" s="47"/>
      <c r="E4" s="47"/>
    </row>
    <row r="5" customFormat="false" ht="15" hidden="false" customHeight="true" outlineLevel="0" collapsed="false">
      <c r="B5" s="48" t="s">
        <v>96</v>
      </c>
    </row>
    <row r="6" customFormat="false" ht="15" hidden="false" customHeight="true" outlineLevel="0" collapsed="false">
      <c r="B6" s="49" t="s">
        <v>97</v>
      </c>
      <c r="C6" s="49" t="s">
        <v>98</v>
      </c>
      <c r="D6" s="49" t="s">
        <v>99</v>
      </c>
      <c r="E6" s="49" t="s">
        <v>78</v>
      </c>
    </row>
    <row r="7" customFormat="false" ht="15" hidden="false" customHeight="true" outlineLevel="0" collapsed="false">
      <c r="B7" s="6" t="s">
        <v>100</v>
      </c>
      <c r="C7" s="50" t="n">
        <v>0.16</v>
      </c>
      <c r="D7" s="12" t="n">
        <f aca="false">C7*'Assumptions &amp; Summary'!C19</f>
        <v>1900270.3805481</v>
      </c>
      <c r="E7" s="51" t="s">
        <v>101</v>
      </c>
    </row>
    <row r="8" customFormat="false" ht="15" hidden="false" customHeight="true" outlineLevel="0" collapsed="false">
      <c r="B8" s="6" t="s">
        <v>102</v>
      </c>
      <c r="C8" s="50" t="n">
        <v>0.1</v>
      </c>
      <c r="D8" s="12" t="n">
        <f aca="false">C8*'Assumptions &amp; Summary'!C19</f>
        <v>1187668.98784256</v>
      </c>
      <c r="E8" s="51" t="s">
        <v>103</v>
      </c>
    </row>
    <row r="9" customFormat="false" ht="15" hidden="false" customHeight="true" outlineLevel="0" collapsed="false">
      <c r="B9" s="6" t="s">
        <v>104</v>
      </c>
      <c r="C9" s="50" t="n">
        <v>0.08</v>
      </c>
      <c r="D9" s="12" t="n">
        <f aca="false">C9*'Assumptions &amp; Summary'!C19</f>
        <v>950135.190274048</v>
      </c>
      <c r="E9" s="51" t="s">
        <v>105</v>
      </c>
    </row>
    <row r="10" customFormat="false" ht="15" hidden="false" customHeight="true" outlineLevel="0" collapsed="false">
      <c r="B10" s="6" t="s">
        <v>106</v>
      </c>
      <c r="C10" s="50" t="n">
        <v>0.06</v>
      </c>
      <c r="D10" s="12" t="n">
        <f aca="false">C10*'Assumptions &amp; Summary'!C19</f>
        <v>712601.392705536</v>
      </c>
      <c r="E10" s="51" t="s">
        <v>107</v>
      </c>
    </row>
    <row r="11" customFormat="false" ht="15" hidden="false" customHeight="true" outlineLevel="0" collapsed="false">
      <c r="B11" s="6" t="s">
        <v>108</v>
      </c>
      <c r="C11" s="50" t="n">
        <v>0.06</v>
      </c>
      <c r="D11" s="12" t="n">
        <f aca="false">C11*'Assumptions &amp; Summary'!C19</f>
        <v>712601.392705536</v>
      </c>
      <c r="E11" s="51" t="s">
        <v>109</v>
      </c>
    </row>
    <row r="12" customFormat="false" ht="15" hidden="false" customHeight="true" outlineLevel="0" collapsed="false">
      <c r="B12" s="6" t="s">
        <v>110</v>
      </c>
      <c r="C12" s="50" t="n">
        <v>0.05</v>
      </c>
      <c r="D12" s="12" t="n">
        <f aca="false">C12*'Assumptions &amp; Summary'!C19</f>
        <v>593834.49392128</v>
      </c>
      <c r="E12" s="51" t="s">
        <v>111</v>
      </c>
    </row>
    <row r="13" customFormat="false" ht="15" hidden="false" customHeight="true" outlineLevel="0" collapsed="false">
      <c r="B13" s="52" t="s">
        <v>112</v>
      </c>
      <c r="C13" s="53" t="n">
        <f aca="false">SUM(C7:C12)</f>
        <v>0.51</v>
      </c>
      <c r="D13" s="54" t="n">
        <f aca="false">SUM(D7:D12)</f>
        <v>6057111.83799706</v>
      </c>
    </row>
    <row r="15" customFormat="false" ht="15" hidden="false" customHeight="true" outlineLevel="0" collapsed="false">
      <c r="B15" s="55" t="s">
        <v>113</v>
      </c>
      <c r="C15" s="56"/>
      <c r="D15" s="56"/>
      <c r="E15" s="56"/>
    </row>
    <row r="16" customFormat="false" ht="15" hidden="false" customHeight="true" outlineLevel="0" collapsed="false">
      <c r="B16" s="48" t="s">
        <v>114</v>
      </c>
    </row>
    <row r="17" customFormat="false" ht="15" hidden="false" customHeight="true" outlineLevel="0" collapsed="false">
      <c r="B17" s="49" t="s">
        <v>97</v>
      </c>
      <c r="C17" s="49" t="s">
        <v>98</v>
      </c>
      <c r="D17" s="49" t="s">
        <v>99</v>
      </c>
      <c r="E17" s="49" t="s">
        <v>78</v>
      </c>
    </row>
    <row r="18" customFormat="false" ht="15" hidden="false" customHeight="true" outlineLevel="0" collapsed="false">
      <c r="B18" s="6" t="s">
        <v>115</v>
      </c>
      <c r="C18" s="50" t="n">
        <v>0.2</v>
      </c>
      <c r="D18" s="12" t="n">
        <f aca="false">C18*'Assumptions &amp; Summary'!C19</f>
        <v>2375337.97568512</v>
      </c>
      <c r="E18" s="51" t="s">
        <v>116</v>
      </c>
    </row>
    <row r="19" customFormat="false" ht="15" hidden="false" customHeight="true" outlineLevel="0" collapsed="false">
      <c r="B19" s="6" t="s">
        <v>117</v>
      </c>
      <c r="C19" s="50" t="n">
        <v>0.08</v>
      </c>
      <c r="D19" s="12" t="n">
        <f aca="false">C19*'Assumptions &amp; Summary'!C19</f>
        <v>950135.190274048</v>
      </c>
      <c r="E19" s="51" t="s">
        <v>118</v>
      </c>
    </row>
    <row r="20" customFormat="false" ht="15" hidden="false" customHeight="true" outlineLevel="0" collapsed="false">
      <c r="B20" s="6" t="s">
        <v>119</v>
      </c>
      <c r="C20" s="50" t="n">
        <v>0.06</v>
      </c>
      <c r="D20" s="12" t="n">
        <f aca="false">C20*'Assumptions &amp; Summary'!C19</f>
        <v>712601.392705536</v>
      </c>
      <c r="E20" s="51" t="s">
        <v>120</v>
      </c>
    </row>
    <row r="21" customFormat="false" ht="15" hidden="false" customHeight="true" outlineLevel="0" collapsed="false">
      <c r="B21" s="6" t="s">
        <v>121</v>
      </c>
      <c r="C21" s="50" t="n">
        <v>0.08</v>
      </c>
      <c r="D21" s="12" t="n">
        <f aca="false">C21*'Assumptions &amp; Summary'!C19</f>
        <v>950135.190274048</v>
      </c>
      <c r="E21" s="51" t="s">
        <v>122</v>
      </c>
    </row>
    <row r="22" customFormat="false" ht="15" hidden="false" customHeight="true" outlineLevel="0" collapsed="false">
      <c r="B22" s="6" t="s">
        <v>123</v>
      </c>
      <c r="C22" s="50" t="n">
        <v>0.07</v>
      </c>
      <c r="D22" s="12" t="n">
        <f aca="false">C22*'Assumptions &amp; Summary'!C19</f>
        <v>831368.291489792</v>
      </c>
      <c r="E22" s="51" t="s">
        <v>124</v>
      </c>
    </row>
    <row r="23" customFormat="false" ht="15" hidden="false" customHeight="true" outlineLevel="0" collapsed="false">
      <c r="B23" s="52" t="s">
        <v>125</v>
      </c>
      <c r="C23" s="53" t="n">
        <f aca="false">SUM(C18:C22)</f>
        <v>0.49</v>
      </c>
      <c r="D23" s="54" t="n">
        <f aca="false">SUM(D18:D22)</f>
        <v>5819578.04042855</v>
      </c>
    </row>
    <row r="25" customFormat="false" ht="15" hidden="false" customHeight="true" outlineLevel="0" collapsed="false">
      <c r="B25" s="57" t="s">
        <v>126</v>
      </c>
      <c r="C25" s="58" t="n">
        <f aca="false">C13+C23</f>
        <v>1</v>
      </c>
      <c r="D25" s="59" t="n">
        <f aca="false">D13+D23</f>
        <v>11876689.8784256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2026-02-23T00:15:35Z</dcterms:created>
  <dc:creator>openpyxl</dc:creator>
  <dc:description/>
  <dc:language>en-US</dc:language>
  <cp:lastModifiedBy/>
  <dcterms:modified xsi:type="dcterms:W3CDTF">2026-03-15T21:10:39Z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